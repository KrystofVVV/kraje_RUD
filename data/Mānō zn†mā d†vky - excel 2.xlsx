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cunicz-my.sharepoint.com/personal/32563404_cuni_cz/Documents/PhD/Research/Rozpočet/CERGE-EI 4. studie - kraje/"/>
    </mc:Choice>
  </mc:AlternateContent>
  <xr:revisionPtr revIDLastSave="534" documentId="11_AD4D80C4656A4B7AC02E74D63B1852785ADEDD8E" xr6:coauthVersionLast="47" xr6:coauthVersionMax="47" xr10:uidLastSave="{31C7B041-6D0A-477F-B220-C847D49DD861}"/>
  <bookViews>
    <workbookView xWindow="-108" yWindow="-108" windowWidth="23256" windowHeight="12576" xr2:uid="{00000000-000D-0000-FFFF-FFFF00000000}"/>
  </bookViews>
  <sheets>
    <sheet name="List1" sheetId="1" r:id="rId1"/>
    <sheet name="List1-backup" sheetId="3" r:id="rId2"/>
    <sheet name="mzdy" sheetId="2" r:id="rId3"/>
  </sheets>
  <definedNames>
    <definedName name="_xlnm._FilterDatabase" localSheetId="0" hidden="1">List1!#REF!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3" l="1"/>
  <c r="I4" i="3"/>
  <c r="J4" i="3"/>
  <c r="K4" i="3"/>
  <c r="L4" i="3"/>
  <c r="M4" i="3"/>
  <c r="N4" i="3"/>
  <c r="O4" i="3"/>
  <c r="P4" i="3"/>
  <c r="C4" i="3"/>
  <c r="D4" i="3"/>
  <c r="E4" i="3"/>
  <c r="F4" i="3"/>
  <c r="G4" i="3"/>
  <c r="O10" i="1"/>
  <c r="P10" i="1"/>
  <c r="P5" i="1"/>
  <c r="E15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P15" i="3"/>
  <c r="O15" i="3"/>
  <c r="N15" i="3"/>
  <c r="M15" i="3"/>
  <c r="L15" i="3"/>
  <c r="K15" i="3"/>
  <c r="J15" i="3"/>
  <c r="I15" i="3"/>
  <c r="H15" i="3"/>
  <c r="G15" i="3"/>
  <c r="F15" i="3"/>
  <c r="P11" i="3"/>
  <c r="N5" i="3"/>
  <c r="M5" i="3"/>
  <c r="L5" i="3"/>
  <c r="K5" i="3"/>
  <c r="J5" i="3"/>
  <c r="I5" i="3"/>
  <c r="H5" i="3"/>
  <c r="G5" i="3"/>
  <c r="F5" i="3"/>
  <c r="I3" i="3"/>
  <c r="J3" i="3" s="1"/>
  <c r="G3" i="3"/>
  <c r="F3" i="3"/>
  <c r="E3" i="3"/>
  <c r="D3" i="3"/>
  <c r="C3" i="3"/>
  <c r="A6" i="2"/>
  <c r="A5" i="2" s="1"/>
  <c r="A4" i="2" s="1"/>
  <c r="A3" i="2" s="1"/>
  <c r="A2" i="2" s="1"/>
  <c r="A1" i="2" s="1"/>
  <c r="A7" i="2"/>
  <c r="A8" i="2"/>
  <c r="K3" i="3" l="1"/>
  <c r="L3" i="3" l="1"/>
  <c r="M3" i="3" l="1"/>
  <c r="N3" i="3" l="1"/>
  <c r="O3" i="3" l="1"/>
  <c r="P3" i="3" l="1"/>
</calcChain>
</file>

<file path=xl/sharedStrings.xml><?xml version="1.0" encoding="utf-8"?>
<sst xmlns="http://schemas.openxmlformats.org/spreadsheetml/2006/main" count="70" uniqueCount="37">
  <si>
    <t>Dávka</t>
  </si>
  <si>
    <t>Poznámka</t>
  </si>
  <si>
    <t>Výše příspěvku pro osobu mladší 18 let v stupni III (těžká závislost); která nevyužívá pobytové služby; bez bonusu za započtení životního minima.</t>
  </si>
  <si>
    <t>Životní minimum</t>
  </si>
  <si>
    <t>Inflace</t>
  </si>
  <si>
    <t>Průměrná mzda</t>
  </si>
  <si>
    <t>Zdroj: ČSÚ, průměrná roční míra inflace. Pro rok 2022 odhad MFČR ze srpna 2022</t>
  </si>
  <si>
    <t>Inflace raw</t>
  </si>
  <si>
    <t>Příspěvek na péči - bonus</t>
  </si>
  <si>
    <t>Bonus pro lidi s příjmy pod dvojnásobkem životního minima</t>
  </si>
  <si>
    <t>Přídavek na dítě</t>
  </si>
  <si>
    <t>Přídavek na dítě - nárok</t>
  </si>
  <si>
    <t>násobek živ. Minima</t>
  </si>
  <si>
    <t>6 – 15 let, alespoň jeden rodič pracuje (zvýšení výměra)</t>
  </si>
  <si>
    <t>6 – 15 let, základní výměra</t>
  </si>
  <si>
    <t>Přídavek na dítě, zvýšená výměra</t>
  </si>
  <si>
    <t>Rodičovský příspěvek</t>
  </si>
  <si>
    <t>Jeden prcek</t>
  </si>
  <si>
    <t>Rodičovský příspěvek - trvání</t>
  </si>
  <si>
    <t>Existenční minimum</t>
  </si>
  <si>
    <t>Příspěvek na bydlení - normativ</t>
  </si>
  <si>
    <t>Příspěvek na péči, těžká závislost</t>
  </si>
  <si>
    <t>Příspěvek na péči, středně těžká závislost</t>
  </si>
  <si>
    <t>Příspěvek na mobilitu</t>
  </si>
  <si>
    <t>Rodičovský příspěvek - celkem</t>
  </si>
  <si>
    <t>Dávky pěstounské péče</t>
  </si>
  <si>
    <t>Příspěvek na úhradu potřeb dítěte 6-12 let + odměna pěstouna za 1 dítě. Platí pro pěstounskou péči zprostředkovanou státem.</t>
  </si>
  <si>
    <t>(stav k 1.1. daného roku)</t>
  </si>
  <si>
    <t>Průměrný důchod</t>
  </si>
  <si>
    <t>Zdroj: ČSÚ, pro rok 2022 data za druhé čtvrtletí; pro rok 2023 odhad ČNB (reálný pokles o 0,4%).</t>
  </si>
  <si>
    <t>Příspěvek na péči, těžká závislost + v pobyt. službách</t>
  </si>
  <si>
    <t>Zdroj: ČSÚ, "průměrná výše starobního důchodu". A MPSV tisková zpráva. Důchod pro rok 2023 počítá s vládou schválenou (tj. nižší) mimořádnou valorizaci</t>
  </si>
  <si>
    <t>pro nájemní bydlení pro 4-člennou rodinu ve městě 50-100 tisíc obyvatel (pro rok 2023 nad 70 tisíc obyv.). Pro rok 2023 počítáme i mimořádné navýšení platné pouze v tomto kalendářním roce (+1800 Kč)</t>
  </si>
  <si>
    <t>Za měsíc při čerpání dva roky; Pro roky 2010 a 2011 jde o měsíční rodičovský příspěvek v základní výměře</t>
  </si>
  <si>
    <t>Inflace - k roku 2015</t>
  </si>
  <si>
    <t>Jedno dítě</t>
  </si>
  <si>
    <t>Zdroj: ČSÚ; pro rok 2023 odhad ČNB (reálný pokles o 0,4%).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</si>
</sst>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#,##0\ &quot;Kč&quot;;\-#,##0\ &quot;Kč&quot;"/>
    <numFmt numFmtId="164" formatCode="###\ ###\ ##0"/>
    <numFmt numFmtId="165" formatCode="###,##0"/>
    <numFmt numFmtId="166" formatCode="#,##0_K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</font>
    <font>
      <sz val="10"/>
      <name val="Arial CE"/>
      <charset val="238"/>
    </font>
    <font>
      <sz val="10"/>
      <name val="Times New Roman CE"/>
      <family val="1"/>
      <charset val="238"/>
    </font>
    <font>
      <sz val="10"/>
      <name val="Arial CE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1"/>
      <color theme="1"/>
      <name val="Calibri"/>
      <family val="2"/>
      <charset val="238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indexed="8"/>
      </top>
      <bottom/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/>
    <xf numFmtId="0" fontId="3" fillId="0" borderId="0"/>
    <xf numFmtId="0" fontId="4" fillId="0" borderId="0"/>
    <xf numFmtId="0" fontId="4" fillId="0" borderId="3" applyNumberFormat="0" applyFont="0" applyFill="0" applyAlignment="0" applyProtection="0"/>
    <xf numFmtId="3" fontId="6" fillId="0" borderId="0"/>
    <xf numFmtId="5" fontId="6" fillId="0" borderId="0"/>
    <xf numFmtId="14" fontId="6" fillId="0" borderId="0"/>
    <xf numFmtId="0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2" fontId="6" fillId="0" borderId="0"/>
    <xf numFmtId="0" fontId="7" fillId="0" borderId="0"/>
    <xf numFmtId="0" fontId="8" fillId="0" borderId="0"/>
    <xf numFmtId="0" fontId="4" fillId="2" borderId="0" applyFont="0" applyFill="0" applyBorder="0" applyAlignment="0" applyProtection="0"/>
    <xf numFmtId="0" fontId="4" fillId="0" borderId="0"/>
    <xf numFmtId="5" fontId="4" fillId="0" borderId="0" applyFont="0" applyFill="0" applyBorder="0" applyAlignment="0" applyProtection="0"/>
    <xf numFmtId="166" fontId="5" fillId="0" borderId="0"/>
    <xf numFmtId="2" fontId="4" fillId="0" borderId="0" applyFont="0" applyFill="0" applyBorder="0" applyAlignment="0" applyProtection="0"/>
    <xf numFmtId="0" fontId="6" fillId="0" borderId="4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5" fontId="6" fillId="0" borderId="0"/>
    <xf numFmtId="5" fontId="4" fillId="0" borderId="0" applyFont="0" applyFill="0" applyBorder="0" applyAlignment="0" applyProtection="0"/>
    <xf numFmtId="0" fontId="12" fillId="0" borderId="0"/>
  </cellStyleXfs>
  <cellXfs count="10">
    <xf numFmtId="0" fontId="0" fillId="0" borderId="0" xfId="0"/>
    <xf numFmtId="3" fontId="0" fillId="0" borderId="0" xfId="0" applyNumberFormat="1"/>
    <xf numFmtId="164" fontId="3" fillId="0" borderId="0" xfId="1" applyNumberFormat="1" applyAlignment="1">
      <alignment horizontal="right"/>
    </xf>
    <xf numFmtId="0" fontId="0" fillId="0" borderId="1" xfId="0" applyBorder="1" applyAlignment="1">
      <alignment horizontal="left" vertical="center" wrapText="1"/>
    </xf>
    <xf numFmtId="165" fontId="0" fillId="0" borderId="2" xfId="0" applyNumberForma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164" fontId="11" fillId="0" borderId="0" xfId="1" applyNumberFormat="1" applyFont="1" applyAlignment="1">
      <alignment horizontal="right"/>
    </xf>
    <xf numFmtId="3" fontId="2" fillId="0" borderId="0" xfId="0" applyNumberFormat="1" applyFont="1"/>
    <xf numFmtId="0" fontId="1" fillId="0" borderId="0" xfId="0" applyFont="1"/>
  </cellXfs>
  <cellStyles count="23">
    <cellStyle name="Celkem 2" xfId="3" xr:uid="{42912235-41F0-4403-B07C-B4EBFD255B29}"/>
    <cellStyle name="Comma0" xfId="4" xr:uid="{3813D0BF-1D94-4B1C-A1B2-144FC6FC0BEE}"/>
    <cellStyle name="Currency0" xfId="5" xr:uid="{314B0325-2886-48EF-8194-433508B9EB18}"/>
    <cellStyle name="Currency0 2" xfId="20" xr:uid="{A2FE9F5A-DD91-4103-AFC0-B43A2F848E83}"/>
    <cellStyle name="Date" xfId="6" xr:uid="{DE90FC98-B07D-401A-826D-35EADD39635C}"/>
    <cellStyle name="Datum" xfId="7" xr:uid="{5C742A50-380B-4549-ABAC-DE4C94A51818}"/>
    <cellStyle name="Finanční0" xfId="8" xr:uid="{210F402A-905A-4345-9B17-B8502B9CF490}"/>
    <cellStyle name="Fixed" xfId="9" xr:uid="{AA4147E7-CCCB-414E-BD08-DC93696C890E}"/>
    <cellStyle name="Heading 1" xfId="10" xr:uid="{AB61F4F2-7631-48A6-AA67-2178FD3BC39A}"/>
    <cellStyle name="Heading 2" xfId="11" xr:uid="{598C1464-A348-4CDD-B0C5-DA76FE968579}"/>
    <cellStyle name="Kč" xfId="12" xr:uid="{AF19BD7F-2FB9-4E9D-8445-4E4F18165DC7}"/>
    <cellStyle name="LO" xfId="13" xr:uid="{CF1B6870-5D06-4299-8366-F8B9CEF6E441}"/>
    <cellStyle name="Měna0" xfId="14" xr:uid="{B374D2D5-04FE-4E81-92D1-170FBC3D9ADE}"/>
    <cellStyle name="Měna0 2" xfId="21" xr:uid="{19F1F856-2513-4D2E-BE6E-665F6088AB0D}"/>
    <cellStyle name="Normální" xfId="0" builtinId="0"/>
    <cellStyle name="Normální 2" xfId="1" xr:uid="{E903B529-CA30-4174-A759-3197442A5DEA}"/>
    <cellStyle name="Normální 3" xfId="2" xr:uid="{38CB2082-417F-4D7E-A636-3F46301DB9E4}"/>
    <cellStyle name="Normální 4" xfId="22" xr:uid="{673226DB-74EF-49BF-9A7D-CA76574EAF65}"/>
    <cellStyle name="PB_TR10" xfId="15" xr:uid="{E2DA7D67-9B44-4998-8C4E-39EB3367B928}"/>
    <cellStyle name="Pevný" xfId="16" xr:uid="{6F74FF41-685F-47CE-823E-CFCD95A98631}"/>
    <cellStyle name="Total" xfId="17" xr:uid="{B5E338AF-D474-426D-B429-F6DCBBBB310F}"/>
    <cellStyle name="Záhlaví 1" xfId="18" xr:uid="{9A14A5DF-1504-4DB0-B7D8-179094E8C293}"/>
    <cellStyle name="Záhlaví 2" xfId="19" xr:uid="{95C4D545-7D83-49D5-935A-FE7EA40222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zoomScale="112" zoomScaleNormal="100" workbookViewId="0">
      <pane xSplit="2" topLeftCell="C1" activePane="topRight" state="frozen"/>
      <selection pane="topRight" activeCell="G8" sqref="G8"/>
    </sheetView>
  </sheetViews>
  <sheetFormatPr defaultRowHeight="14.4" x14ac:dyDescent="0.3"/>
  <cols>
    <col min="1" max="1" width="14.5546875" customWidth="1"/>
    <col min="2" max="2" width="25.33203125" customWidth="1"/>
    <col min="3" max="3" width="14.33203125" customWidth="1"/>
    <col min="4" max="4" width="9" customWidth="1"/>
    <col min="5" max="5" width="8.6640625" customWidth="1"/>
    <col min="6" max="6" width="7.88671875" bestFit="1" customWidth="1"/>
    <col min="7" max="7" width="10" customWidth="1"/>
  </cols>
  <sheetData>
    <row r="1" spans="1:17" x14ac:dyDescent="0.3">
      <c r="A1" t="s">
        <v>0</v>
      </c>
      <c r="B1" t="s">
        <v>1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 t="s">
        <v>27</v>
      </c>
    </row>
    <row r="2" spans="1:17" x14ac:dyDescent="0.3">
      <c r="A2" t="s">
        <v>7</v>
      </c>
      <c r="B2" t="s">
        <v>6</v>
      </c>
      <c r="C2">
        <v>1.5</v>
      </c>
      <c r="D2">
        <v>1.9</v>
      </c>
      <c r="E2">
        <v>3.3</v>
      </c>
      <c r="F2">
        <v>1.4</v>
      </c>
      <c r="G2">
        <v>0.4</v>
      </c>
      <c r="H2">
        <v>0.3</v>
      </c>
      <c r="I2">
        <v>0.7</v>
      </c>
      <c r="J2">
        <v>2.5</v>
      </c>
      <c r="K2">
        <v>2.1</v>
      </c>
      <c r="L2">
        <v>2.8</v>
      </c>
      <c r="M2">
        <v>3.2</v>
      </c>
      <c r="N2">
        <v>3.8</v>
      </c>
      <c r="O2">
        <v>15.1</v>
      </c>
      <c r="P2">
        <v>10.8</v>
      </c>
    </row>
    <row r="3" spans="1:17" x14ac:dyDescent="0.3">
      <c r="A3" t="s">
        <v>34</v>
      </c>
      <c r="C3">
        <v>0.93036399233855904</v>
      </c>
      <c r="D3">
        <v>0.94804090819299158</v>
      </c>
      <c r="E3">
        <v>0.97932625816336027</v>
      </c>
      <c r="F3">
        <v>0.99303682577764729</v>
      </c>
      <c r="G3">
        <v>0.99700897308075787</v>
      </c>
      <c r="H3">
        <v>1</v>
      </c>
      <c r="I3">
        <v>1.0069999999999999</v>
      </c>
      <c r="J3">
        <v>1.0321749999999998</v>
      </c>
      <c r="K3">
        <v>1.0538506749999998</v>
      </c>
      <c r="L3">
        <v>1.0833584938999998</v>
      </c>
      <c r="M3">
        <v>1.1180259657048</v>
      </c>
      <c r="N3">
        <v>1.1605109524015824</v>
      </c>
      <c r="O3">
        <v>1.3357481062142214</v>
      </c>
      <c r="P3" s="9">
        <v>1.4800089016853575</v>
      </c>
    </row>
    <row r="4" spans="1:17" x14ac:dyDescent="0.3">
      <c r="A4" t="s">
        <v>4</v>
      </c>
      <c r="C4">
        <v>0.95000413251797655</v>
      </c>
      <c r="D4">
        <v>0.96805421103581801</v>
      </c>
      <c r="E4">
        <v>0.98226423693785025</v>
      </c>
      <c r="F4">
        <v>0.99601593625498008</v>
      </c>
      <c r="G4">
        <v>1</v>
      </c>
      <c r="H4">
        <v>1.0029999999999999</v>
      </c>
      <c r="I4">
        <v>1.0100209999999998</v>
      </c>
      <c r="J4">
        <v>1.0352715249999997</v>
      </c>
      <c r="K4">
        <v>1.0570122270249998</v>
      </c>
      <c r="L4">
        <v>1.0866085693816996</v>
      </c>
      <c r="M4">
        <v>1.1213800436019141</v>
      </c>
      <c r="N4">
        <v>1.1639924852587871</v>
      </c>
      <c r="O4">
        <v>1.3397553505328639</v>
      </c>
      <c r="P4">
        <v>1.4844489283904134</v>
      </c>
    </row>
    <row r="5" spans="1:17" x14ac:dyDescent="0.3">
      <c r="A5" t="s">
        <v>5</v>
      </c>
      <c r="B5" t="s">
        <v>36</v>
      </c>
      <c r="C5">
        <v>23864</v>
      </c>
      <c r="D5">
        <v>24455</v>
      </c>
      <c r="E5">
        <v>25067</v>
      </c>
      <c r="F5">
        <v>25035</v>
      </c>
      <c r="G5">
        <v>25768</v>
      </c>
      <c r="H5">
        <v>26591</v>
      </c>
      <c r="I5">
        <v>27764</v>
      </c>
      <c r="J5">
        <v>29638.418456260599</v>
      </c>
      <c r="K5">
        <v>32050.753248582201</v>
      </c>
      <c r="L5">
        <v>34577.509187121097</v>
      </c>
      <c r="M5">
        <v>36176.325555197502</v>
      </c>
      <c r="N5">
        <v>37902.853552645603</v>
      </c>
      <c r="O5">
        <v>40353</v>
      </c>
      <c r="P5" s="9">
        <f>O5*1.1036</f>
        <v>44533.570799999994</v>
      </c>
    </row>
    <row r="6" spans="1:17" x14ac:dyDescent="0.3">
      <c r="A6" t="s">
        <v>28</v>
      </c>
      <c r="B6" t="s">
        <v>31</v>
      </c>
      <c r="C6" s="1">
        <v>10138</v>
      </c>
      <c r="D6" s="1">
        <v>10567</v>
      </c>
      <c r="E6" s="1">
        <v>10793</v>
      </c>
      <c r="F6" s="2">
        <v>10985</v>
      </c>
      <c r="G6" s="2">
        <v>11090</v>
      </c>
      <c r="H6" s="2">
        <v>11363</v>
      </c>
      <c r="I6" s="2">
        <v>11475</v>
      </c>
      <c r="J6" s="2">
        <v>11866</v>
      </c>
      <c r="K6" s="2">
        <v>12435</v>
      </c>
      <c r="L6" s="2">
        <v>13487</v>
      </c>
      <c r="M6" s="2">
        <v>14502</v>
      </c>
      <c r="N6" s="2">
        <v>15453</v>
      </c>
      <c r="O6" s="1">
        <v>18061</v>
      </c>
      <c r="P6" s="9">
        <v>20188</v>
      </c>
    </row>
    <row r="7" spans="1:17" x14ac:dyDescent="0.3">
      <c r="A7" t="s">
        <v>24</v>
      </c>
      <c r="B7" t="s">
        <v>35</v>
      </c>
      <c r="E7">
        <v>220000</v>
      </c>
      <c r="F7">
        <v>220000</v>
      </c>
      <c r="G7">
        <v>220000</v>
      </c>
      <c r="H7">
        <v>220000</v>
      </c>
      <c r="I7">
        <v>220000</v>
      </c>
      <c r="J7">
        <v>220000</v>
      </c>
      <c r="K7">
        <v>220000</v>
      </c>
      <c r="L7">
        <v>220000</v>
      </c>
      <c r="M7">
        <v>300000</v>
      </c>
      <c r="N7">
        <v>300000</v>
      </c>
      <c r="O7">
        <v>300000</v>
      </c>
      <c r="P7">
        <v>300000</v>
      </c>
    </row>
    <row r="8" spans="1:17" x14ac:dyDescent="0.3">
      <c r="A8" t="s">
        <v>20</v>
      </c>
      <c r="B8" s="9" t="s">
        <v>32</v>
      </c>
      <c r="C8" s="6">
        <v>11835</v>
      </c>
      <c r="D8" s="6">
        <v>12506</v>
      </c>
      <c r="E8" s="8">
        <v>13565</v>
      </c>
      <c r="F8">
        <v>14419</v>
      </c>
      <c r="G8">
        <v>14932</v>
      </c>
      <c r="H8">
        <v>14668</v>
      </c>
      <c r="I8">
        <v>14905</v>
      </c>
      <c r="J8">
        <v>14482</v>
      </c>
      <c r="K8">
        <v>14639</v>
      </c>
      <c r="L8">
        <v>14491</v>
      </c>
      <c r="M8">
        <v>15138</v>
      </c>
      <c r="N8">
        <v>15463</v>
      </c>
      <c r="O8">
        <v>15803</v>
      </c>
      <c r="P8" s="9">
        <v>21002</v>
      </c>
    </row>
    <row r="9" spans="1:17" x14ac:dyDescent="0.3">
      <c r="A9" t="s">
        <v>25</v>
      </c>
      <c r="B9" t="s">
        <v>26</v>
      </c>
      <c r="C9">
        <v>7634</v>
      </c>
      <c r="D9">
        <v>7634</v>
      </c>
      <c r="E9">
        <v>8332</v>
      </c>
      <c r="F9">
        <v>13500</v>
      </c>
      <c r="G9">
        <v>13500</v>
      </c>
      <c r="H9">
        <v>13500</v>
      </c>
      <c r="I9">
        <v>13500</v>
      </c>
      <c r="J9">
        <v>13500</v>
      </c>
      <c r="K9">
        <v>18105</v>
      </c>
      <c r="L9">
        <v>18105</v>
      </c>
      <c r="M9">
        <v>18105</v>
      </c>
      <c r="N9">
        <v>18105</v>
      </c>
      <c r="O9">
        <v>22305</v>
      </c>
      <c r="P9" s="9">
        <v>25050</v>
      </c>
    </row>
    <row r="10" spans="1:17" x14ac:dyDescent="0.3">
      <c r="A10" t="s">
        <v>16</v>
      </c>
      <c r="B10" t="s">
        <v>33</v>
      </c>
      <c r="C10">
        <v>7600</v>
      </c>
      <c r="D10">
        <v>7600</v>
      </c>
      <c r="E10">
        <v>9166.6666666666661</v>
      </c>
      <c r="F10">
        <v>9166.6666666666661</v>
      </c>
      <c r="G10">
        <v>9166.6666666666661</v>
      </c>
      <c r="H10">
        <v>9166.6666666666661</v>
      </c>
      <c r="I10">
        <v>9166.6666666666661</v>
      </c>
      <c r="J10">
        <v>9166.6666666666661</v>
      </c>
      <c r="K10">
        <v>9166.6666666666661</v>
      </c>
      <c r="L10">
        <v>9166.6666666666661</v>
      </c>
      <c r="M10">
        <v>12500</v>
      </c>
      <c r="N10">
        <v>12500</v>
      </c>
      <c r="O10">
        <f>O7/24</f>
        <v>12500</v>
      </c>
      <c r="P10">
        <f>P7/24</f>
        <v>12500</v>
      </c>
    </row>
    <row r="11" spans="1:17" x14ac:dyDescent="0.3">
      <c r="A11" t="s">
        <v>21</v>
      </c>
      <c r="B11" t="s">
        <v>2</v>
      </c>
      <c r="C11">
        <v>9000</v>
      </c>
      <c r="D11">
        <v>9000</v>
      </c>
      <c r="E11">
        <v>9000</v>
      </c>
      <c r="F11">
        <v>9000</v>
      </c>
      <c r="G11">
        <v>9000</v>
      </c>
      <c r="H11">
        <v>9000</v>
      </c>
      <c r="I11">
        <v>9000</v>
      </c>
      <c r="J11">
        <v>9900</v>
      </c>
      <c r="K11">
        <v>9900</v>
      </c>
      <c r="L11">
        <v>9900</v>
      </c>
      <c r="M11">
        <v>13900</v>
      </c>
      <c r="N11">
        <v>13900</v>
      </c>
      <c r="O11">
        <v>13900</v>
      </c>
      <c r="P11" s="9">
        <v>13900</v>
      </c>
    </row>
    <row r="12" spans="1:17" x14ac:dyDescent="0.3">
      <c r="A12" t="s">
        <v>30</v>
      </c>
      <c r="C12">
        <v>9000</v>
      </c>
      <c r="D12">
        <v>9000</v>
      </c>
      <c r="E12">
        <v>9000</v>
      </c>
      <c r="F12">
        <v>9000</v>
      </c>
      <c r="G12">
        <v>9000</v>
      </c>
      <c r="H12">
        <v>9000</v>
      </c>
      <c r="I12">
        <v>9000</v>
      </c>
      <c r="J12">
        <v>9900</v>
      </c>
      <c r="K12">
        <v>9900</v>
      </c>
      <c r="L12">
        <v>9900</v>
      </c>
      <c r="M12">
        <v>9900</v>
      </c>
      <c r="N12">
        <v>9900</v>
      </c>
      <c r="O12">
        <v>13900</v>
      </c>
      <c r="P12" s="9">
        <v>13900</v>
      </c>
    </row>
    <row r="13" spans="1:17" x14ac:dyDescent="0.3">
      <c r="A13" t="s">
        <v>22</v>
      </c>
      <c r="C13" s="2">
        <v>5000</v>
      </c>
      <c r="D13" s="2">
        <v>5000</v>
      </c>
      <c r="E13" s="2">
        <v>6000</v>
      </c>
      <c r="F13" s="2">
        <v>6000</v>
      </c>
      <c r="G13" s="2">
        <v>6000</v>
      </c>
      <c r="H13" s="2">
        <v>6000</v>
      </c>
      <c r="I13" s="2">
        <v>6000</v>
      </c>
      <c r="J13" s="2">
        <v>6600</v>
      </c>
      <c r="K13" s="2">
        <v>6600</v>
      </c>
      <c r="L13" s="2">
        <v>6600</v>
      </c>
      <c r="M13" s="2">
        <v>6600</v>
      </c>
      <c r="N13" s="2">
        <v>6600</v>
      </c>
      <c r="O13" s="2">
        <v>6600</v>
      </c>
      <c r="P13" s="7">
        <v>6600</v>
      </c>
    </row>
    <row r="14" spans="1:17" x14ac:dyDescent="0.3">
      <c r="A14" t="s">
        <v>3</v>
      </c>
      <c r="C14" s="1">
        <v>3126</v>
      </c>
      <c r="D14" s="1">
        <v>3126</v>
      </c>
      <c r="E14">
        <v>3410</v>
      </c>
      <c r="F14">
        <v>3410</v>
      </c>
      <c r="G14">
        <v>3410</v>
      </c>
      <c r="H14">
        <v>3410</v>
      </c>
      <c r="I14">
        <v>3410</v>
      </c>
      <c r="J14">
        <v>3410</v>
      </c>
      <c r="K14">
        <v>3410</v>
      </c>
      <c r="L14">
        <v>3410</v>
      </c>
      <c r="M14">
        <v>3410</v>
      </c>
      <c r="N14" s="1">
        <v>3860</v>
      </c>
      <c r="O14" s="1">
        <v>3860</v>
      </c>
      <c r="P14" s="9">
        <v>4860</v>
      </c>
    </row>
    <row r="15" spans="1:17" x14ac:dyDescent="0.3">
      <c r="A15" t="s">
        <v>19</v>
      </c>
      <c r="C15">
        <v>2020</v>
      </c>
      <c r="D15">
        <v>2020</v>
      </c>
      <c r="E15">
        <v>2200</v>
      </c>
      <c r="F15">
        <v>2200</v>
      </c>
      <c r="G15">
        <v>2200</v>
      </c>
      <c r="H15">
        <v>2200</v>
      </c>
      <c r="I15">
        <v>2200</v>
      </c>
      <c r="J15">
        <v>2200</v>
      </c>
      <c r="K15">
        <v>2200</v>
      </c>
      <c r="L15">
        <v>2200</v>
      </c>
      <c r="M15">
        <v>2200</v>
      </c>
      <c r="N15">
        <v>2490</v>
      </c>
      <c r="O15">
        <v>2490</v>
      </c>
      <c r="P15" s="9">
        <v>3130</v>
      </c>
    </row>
    <row r="16" spans="1:17" x14ac:dyDescent="0.3">
      <c r="A16" t="s">
        <v>8</v>
      </c>
      <c r="B16" t="s">
        <v>9</v>
      </c>
      <c r="E16">
        <v>2000</v>
      </c>
      <c r="F16">
        <v>2000</v>
      </c>
      <c r="G16">
        <v>2000</v>
      </c>
      <c r="H16">
        <v>2000</v>
      </c>
      <c r="I16">
        <v>2000</v>
      </c>
      <c r="J16">
        <v>2000</v>
      </c>
      <c r="K16">
        <v>2000</v>
      </c>
      <c r="L16">
        <v>2000</v>
      </c>
      <c r="M16">
        <v>2000</v>
      </c>
      <c r="N16">
        <v>2000</v>
      </c>
      <c r="O16">
        <v>2000</v>
      </c>
      <c r="P16" s="9">
        <v>2000</v>
      </c>
    </row>
    <row r="17" spans="1:16" x14ac:dyDescent="0.3">
      <c r="A17" t="s">
        <v>10</v>
      </c>
      <c r="B17" t="s">
        <v>14</v>
      </c>
      <c r="C17">
        <v>610</v>
      </c>
      <c r="D17">
        <v>610</v>
      </c>
      <c r="E17">
        <v>610</v>
      </c>
      <c r="F17">
        <v>610</v>
      </c>
      <c r="G17">
        <v>610</v>
      </c>
      <c r="H17">
        <v>610</v>
      </c>
      <c r="I17">
        <v>610</v>
      </c>
      <c r="J17">
        <v>610</v>
      </c>
      <c r="K17">
        <v>610</v>
      </c>
      <c r="L17">
        <v>610</v>
      </c>
      <c r="M17">
        <v>610</v>
      </c>
      <c r="N17">
        <v>610</v>
      </c>
      <c r="O17">
        <v>770</v>
      </c>
      <c r="P17" s="9">
        <v>970</v>
      </c>
    </row>
    <row r="18" spans="1:16" x14ac:dyDescent="0.3">
      <c r="A18" t="s">
        <v>15</v>
      </c>
      <c r="B18" t="s">
        <v>13</v>
      </c>
      <c r="C18">
        <v>610</v>
      </c>
      <c r="D18">
        <v>610</v>
      </c>
      <c r="E18">
        <v>610</v>
      </c>
      <c r="F18">
        <v>610</v>
      </c>
      <c r="G18">
        <v>610</v>
      </c>
      <c r="H18">
        <v>610</v>
      </c>
      <c r="I18">
        <v>610</v>
      </c>
      <c r="J18">
        <v>610</v>
      </c>
      <c r="K18">
        <v>910</v>
      </c>
      <c r="L18">
        <v>910</v>
      </c>
      <c r="M18">
        <v>910</v>
      </c>
      <c r="N18">
        <v>910</v>
      </c>
      <c r="O18">
        <v>1270</v>
      </c>
      <c r="P18" s="9">
        <v>1470</v>
      </c>
    </row>
    <row r="19" spans="1:16" x14ac:dyDescent="0.3">
      <c r="A19" t="s">
        <v>23</v>
      </c>
      <c r="E19">
        <v>400</v>
      </c>
      <c r="F19">
        <v>400</v>
      </c>
      <c r="G19">
        <v>400</v>
      </c>
      <c r="H19">
        <v>400</v>
      </c>
      <c r="I19">
        <v>400</v>
      </c>
      <c r="J19">
        <v>400</v>
      </c>
      <c r="K19">
        <v>550</v>
      </c>
      <c r="L19">
        <v>550</v>
      </c>
      <c r="M19">
        <v>550</v>
      </c>
      <c r="N19">
        <v>550</v>
      </c>
      <c r="O19">
        <v>550</v>
      </c>
      <c r="P19" s="9">
        <v>900</v>
      </c>
    </row>
    <row r="20" spans="1:16" x14ac:dyDescent="0.3">
      <c r="A20" t="s">
        <v>11</v>
      </c>
      <c r="B20" t="s">
        <v>12</v>
      </c>
      <c r="C20">
        <v>2.4</v>
      </c>
      <c r="D20">
        <v>2.4</v>
      </c>
      <c r="E20">
        <v>2.4</v>
      </c>
      <c r="F20">
        <v>2.4</v>
      </c>
      <c r="G20">
        <v>2.4</v>
      </c>
      <c r="H20">
        <v>2.4</v>
      </c>
      <c r="I20">
        <v>2.4</v>
      </c>
      <c r="J20">
        <v>2.4</v>
      </c>
      <c r="K20">
        <v>2.7</v>
      </c>
      <c r="L20">
        <v>2.7</v>
      </c>
      <c r="M20">
        <v>2.7</v>
      </c>
      <c r="N20">
        <v>2.7</v>
      </c>
      <c r="O20">
        <v>3.4</v>
      </c>
      <c r="P20" s="9">
        <v>3.4</v>
      </c>
    </row>
    <row r="21" spans="1:16" x14ac:dyDescent="0.3">
      <c r="A21" t="s">
        <v>18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P21" s="9"/>
    </row>
    <row r="22" spans="1:16" x14ac:dyDescent="0.3">
      <c r="F22" s="5"/>
    </row>
    <row r="23" spans="1:16" x14ac:dyDescent="0.3">
      <c r="F23" s="5"/>
    </row>
    <row r="24" spans="1:16" x14ac:dyDescent="0.3">
      <c r="F24" s="5"/>
    </row>
    <row r="25" spans="1:16" x14ac:dyDescent="0.3">
      <c r="F25" s="5"/>
    </row>
    <row r="26" spans="1:16" x14ac:dyDescent="0.3">
      <c r="F26" s="5"/>
    </row>
    <row r="27" spans="1:16" x14ac:dyDescent="0.3">
      <c r="F27" s="5"/>
    </row>
    <row r="28" spans="1:16" x14ac:dyDescent="0.3">
      <c r="F28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7944-A4E0-4703-A295-BD529475BFFB}">
  <dimension ref="A1:Q21"/>
  <sheetViews>
    <sheetView workbookViewId="0">
      <selection activeCell="P4" sqref="E4:P4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 t="s">
        <v>27</v>
      </c>
    </row>
    <row r="2" spans="1:17" x14ac:dyDescent="0.3">
      <c r="A2" t="s">
        <v>7</v>
      </c>
      <c r="B2" t="s">
        <v>6</v>
      </c>
      <c r="C2">
        <v>1.5</v>
      </c>
      <c r="D2">
        <v>1.9</v>
      </c>
      <c r="E2">
        <v>3.3</v>
      </c>
      <c r="F2">
        <v>1.4</v>
      </c>
      <c r="G2">
        <v>0.4</v>
      </c>
      <c r="H2">
        <v>0.3</v>
      </c>
      <c r="I2">
        <v>0.7</v>
      </c>
      <c r="J2">
        <v>2.5</v>
      </c>
      <c r="K2">
        <v>2.1</v>
      </c>
      <c r="L2">
        <v>2.8</v>
      </c>
      <c r="M2">
        <v>3.2</v>
      </c>
      <c r="N2">
        <v>3.8</v>
      </c>
      <c r="O2">
        <v>15.1</v>
      </c>
      <c r="P2">
        <v>10.8</v>
      </c>
    </row>
    <row r="3" spans="1:17" x14ac:dyDescent="0.3">
      <c r="A3" t="s">
        <v>34</v>
      </c>
      <c r="C3">
        <f t="shared" ref="C3:E3" si="0">D3/(1+D2/100)</f>
        <v>0.93036399233855904</v>
      </c>
      <c r="D3">
        <f t="shared" si="0"/>
        <v>0.94804090819299158</v>
      </c>
      <c r="E3">
        <f t="shared" si="0"/>
        <v>0.97932625816336027</v>
      </c>
      <c r="F3">
        <f>G3/(1+G2/100)</f>
        <v>0.99303682577764729</v>
      </c>
      <c r="G3">
        <f>H3/(1+H2/100)</f>
        <v>0.99700897308075787</v>
      </c>
      <c r="H3">
        <v>1</v>
      </c>
      <c r="I3">
        <f>H3*(1+I2/100)</f>
        <v>1.0069999999999999</v>
      </c>
      <c r="J3">
        <f t="shared" ref="J3:O3" si="1">I3*(1+J2/100)</f>
        <v>1.0321749999999998</v>
      </c>
      <c r="K3">
        <f t="shared" si="1"/>
        <v>1.0538506749999998</v>
      </c>
      <c r="L3">
        <f t="shared" si="1"/>
        <v>1.0833584938999998</v>
      </c>
      <c r="M3">
        <f t="shared" si="1"/>
        <v>1.1180259657048</v>
      </c>
      <c r="N3">
        <f t="shared" si="1"/>
        <v>1.1605109524015824</v>
      </c>
      <c r="O3">
        <f t="shared" si="1"/>
        <v>1.3357481062142214</v>
      </c>
      <c r="P3" s="9">
        <f>O3*(1+P2/100)</f>
        <v>1.4800089016853575</v>
      </c>
    </row>
    <row r="4" spans="1:17" x14ac:dyDescent="0.3">
      <c r="A4" t="s">
        <v>4</v>
      </c>
      <c r="C4">
        <f t="shared" ref="C4:F4" si="2">C3/$G$3</f>
        <v>0.93315508431557459</v>
      </c>
      <c r="D4">
        <f t="shared" si="2"/>
        <v>0.95088503091757037</v>
      </c>
      <c r="E4">
        <f t="shared" si="2"/>
        <v>0.98226423693785025</v>
      </c>
      <c r="F4">
        <f t="shared" si="2"/>
        <v>0.99601593625498008</v>
      </c>
      <c r="G4">
        <f>G3/$G$3</f>
        <v>1</v>
      </c>
      <c r="H4">
        <f t="shared" ref="H4" si="3">H3/$G$3</f>
        <v>1.0029999999999999</v>
      </c>
      <c r="I4">
        <f t="shared" ref="I4" si="4">I3/$G$3</f>
        <v>1.0100209999999998</v>
      </c>
      <c r="J4">
        <f t="shared" ref="J4" si="5">J3/$G$3</f>
        <v>1.0352715249999997</v>
      </c>
      <c r="K4">
        <f t="shared" ref="K4:L4" si="6">K3/$G$3</f>
        <v>1.0570122270249998</v>
      </c>
      <c r="L4">
        <f t="shared" si="6"/>
        <v>1.0866085693816996</v>
      </c>
      <c r="M4">
        <f t="shared" ref="M4" si="7">M3/$G$3</f>
        <v>1.1213800436019141</v>
      </c>
      <c r="N4">
        <f t="shared" ref="N4" si="8">N3/$G$3</f>
        <v>1.1639924852587871</v>
      </c>
      <c r="O4">
        <f t="shared" ref="O4" si="9">O3/$G$3</f>
        <v>1.3397553505328639</v>
      </c>
      <c r="P4">
        <f t="shared" ref="P4" si="10">P3/$G$3</f>
        <v>1.4844489283904134</v>
      </c>
    </row>
    <row r="5" spans="1:17" x14ac:dyDescent="0.3">
      <c r="A5" t="s">
        <v>5</v>
      </c>
      <c r="B5" t="s">
        <v>29</v>
      </c>
      <c r="C5">
        <v>23105</v>
      </c>
      <c r="D5">
        <v>23627</v>
      </c>
      <c r="E5">
        <v>24252</v>
      </c>
      <c r="F5" s="2">
        <f>VLOOKUP(F1,mzdy!$A$1:$B$9,2,FALSE)</f>
        <v>24221</v>
      </c>
      <c r="G5" s="2">
        <f>VLOOKUP(G1,mzdy!$A$1:$B$9,2,FALSE)</f>
        <v>24906</v>
      </c>
      <c r="H5" s="2">
        <f>VLOOKUP(H1,mzdy!$A$1:$B$9,2,FALSE)</f>
        <v>25697</v>
      </c>
      <c r="I5" s="2">
        <f>VLOOKUP(I1,mzdy!$A$1:$B$9,2,FALSE)</f>
        <v>26837</v>
      </c>
      <c r="J5" s="2">
        <f>VLOOKUP(J1,mzdy!$A$1:$B$9,2,FALSE)</f>
        <v>28704.067052664199</v>
      </c>
      <c r="K5" s="2">
        <f>VLOOKUP(K1,mzdy!$A$1:$B$9,2,FALSE)</f>
        <v>31005.861030659202</v>
      </c>
      <c r="L5" s="2">
        <f>VLOOKUP(L1,mzdy!$A$1:$B$9,2,FALSE)</f>
        <v>33227.633399693899</v>
      </c>
      <c r="M5" s="2">
        <f>VLOOKUP(M1,mzdy!$A$1:$B$9,2,FALSE)</f>
        <v>34606.334573517503</v>
      </c>
      <c r="N5" s="2">
        <f>VLOOKUP(N1,mzdy!$A$1:$B$9,2,FALSE)</f>
        <v>36191.865869672103</v>
      </c>
      <c r="O5">
        <v>40086</v>
      </c>
      <c r="P5" s="9">
        <v>44237.626848</v>
      </c>
    </row>
    <row r="6" spans="1:17" x14ac:dyDescent="0.3">
      <c r="A6" t="s">
        <v>28</v>
      </c>
      <c r="B6" t="s">
        <v>31</v>
      </c>
      <c r="C6" s="1">
        <v>10138</v>
      </c>
      <c r="D6" s="1">
        <v>10567</v>
      </c>
      <c r="E6" s="1">
        <v>10793</v>
      </c>
      <c r="F6" s="2">
        <v>10985</v>
      </c>
      <c r="G6" s="2">
        <v>11090</v>
      </c>
      <c r="H6" s="2">
        <v>11363</v>
      </c>
      <c r="I6" s="2">
        <v>11475</v>
      </c>
      <c r="J6" s="2">
        <v>11866</v>
      </c>
      <c r="K6" s="2">
        <v>12435</v>
      </c>
      <c r="L6" s="2">
        <v>13487</v>
      </c>
      <c r="M6" s="2">
        <v>14502</v>
      </c>
      <c r="N6" s="2">
        <v>15453</v>
      </c>
      <c r="O6" s="1">
        <v>18061</v>
      </c>
      <c r="P6" s="9">
        <v>20188</v>
      </c>
    </row>
    <row r="7" spans="1:17" x14ac:dyDescent="0.3">
      <c r="A7" t="s">
        <v>22</v>
      </c>
      <c r="C7" s="2">
        <v>5000</v>
      </c>
      <c r="D7" s="2">
        <v>5000</v>
      </c>
      <c r="E7" s="2">
        <v>6000</v>
      </c>
      <c r="F7" s="2">
        <v>6000</v>
      </c>
      <c r="G7" s="2">
        <v>6000</v>
      </c>
      <c r="H7" s="2">
        <v>6000</v>
      </c>
      <c r="I7" s="2">
        <v>6000</v>
      </c>
      <c r="J7" s="2">
        <v>6600</v>
      </c>
      <c r="K7" s="2">
        <v>6600</v>
      </c>
      <c r="L7" s="2">
        <v>6600</v>
      </c>
      <c r="M7" s="2">
        <v>6600</v>
      </c>
      <c r="N7" s="2">
        <v>6600</v>
      </c>
      <c r="O7" s="2">
        <v>6600</v>
      </c>
      <c r="P7" s="7">
        <v>6600</v>
      </c>
    </row>
    <row r="8" spans="1:17" x14ac:dyDescent="0.3">
      <c r="A8" t="s">
        <v>21</v>
      </c>
      <c r="B8" t="s">
        <v>2</v>
      </c>
      <c r="C8">
        <v>9000</v>
      </c>
      <c r="D8">
        <v>9000</v>
      </c>
      <c r="E8">
        <v>9000</v>
      </c>
      <c r="F8">
        <v>9000</v>
      </c>
      <c r="G8">
        <v>9000</v>
      </c>
      <c r="H8">
        <v>9000</v>
      </c>
      <c r="I8">
        <v>9000</v>
      </c>
      <c r="J8">
        <v>9900</v>
      </c>
      <c r="K8">
        <v>9900</v>
      </c>
      <c r="L8">
        <v>9900</v>
      </c>
      <c r="M8">
        <v>13900</v>
      </c>
      <c r="N8">
        <v>13900</v>
      </c>
      <c r="O8">
        <v>13900</v>
      </c>
      <c r="P8" s="9">
        <v>13900</v>
      </c>
    </row>
    <row r="9" spans="1:17" x14ac:dyDescent="0.3">
      <c r="A9" t="s">
        <v>30</v>
      </c>
      <c r="C9">
        <v>9000</v>
      </c>
      <c r="D9">
        <v>9000</v>
      </c>
      <c r="E9">
        <v>9000</v>
      </c>
      <c r="F9">
        <v>9000</v>
      </c>
      <c r="G9">
        <v>9000</v>
      </c>
      <c r="H9">
        <v>9000</v>
      </c>
      <c r="I9">
        <v>9000</v>
      </c>
      <c r="J9">
        <v>9900</v>
      </c>
      <c r="K9">
        <v>9900</v>
      </c>
      <c r="L9">
        <v>9900</v>
      </c>
      <c r="M9">
        <v>9900</v>
      </c>
      <c r="N9">
        <v>9900</v>
      </c>
      <c r="O9">
        <v>13900</v>
      </c>
      <c r="P9" s="9">
        <v>13900</v>
      </c>
    </row>
    <row r="10" spans="1:17" x14ac:dyDescent="0.3">
      <c r="A10" t="s">
        <v>8</v>
      </c>
      <c r="B10" t="s">
        <v>9</v>
      </c>
      <c r="E10">
        <v>2000</v>
      </c>
      <c r="F10">
        <v>2000</v>
      </c>
      <c r="G10">
        <v>2000</v>
      </c>
      <c r="H10">
        <v>2000</v>
      </c>
      <c r="I10">
        <v>2000</v>
      </c>
      <c r="J10">
        <v>2000</v>
      </c>
      <c r="K10">
        <v>2000</v>
      </c>
      <c r="L10">
        <v>2000</v>
      </c>
      <c r="M10">
        <v>2000</v>
      </c>
      <c r="N10">
        <v>2000</v>
      </c>
      <c r="O10">
        <v>2000</v>
      </c>
      <c r="P10" s="9">
        <v>2000</v>
      </c>
    </row>
    <row r="11" spans="1:17" x14ac:dyDescent="0.3">
      <c r="A11" t="s">
        <v>20</v>
      </c>
      <c r="B11" s="9" t="s">
        <v>32</v>
      </c>
      <c r="C11" s="6">
        <v>11835</v>
      </c>
      <c r="D11" s="6">
        <v>12506</v>
      </c>
      <c r="E11" s="8">
        <v>13565</v>
      </c>
      <c r="F11">
        <v>14419</v>
      </c>
      <c r="G11">
        <v>14932</v>
      </c>
      <c r="H11">
        <v>14668</v>
      </c>
      <c r="I11">
        <v>14905</v>
      </c>
      <c r="J11">
        <v>14482</v>
      </c>
      <c r="K11">
        <v>14639</v>
      </c>
      <c r="L11">
        <v>14491</v>
      </c>
      <c r="M11">
        <v>15138</v>
      </c>
      <c r="N11">
        <v>15463</v>
      </c>
      <c r="O11">
        <v>15803</v>
      </c>
      <c r="P11" s="9">
        <f>19202+1800</f>
        <v>21002</v>
      </c>
    </row>
    <row r="12" spans="1:17" x14ac:dyDescent="0.3">
      <c r="A12" t="s">
        <v>10</v>
      </c>
      <c r="B12" t="s">
        <v>14</v>
      </c>
      <c r="C12">
        <v>610</v>
      </c>
      <c r="D12">
        <v>610</v>
      </c>
      <c r="E12">
        <v>610</v>
      </c>
      <c r="F12">
        <v>610</v>
      </c>
      <c r="G12">
        <v>610</v>
      </c>
      <c r="H12">
        <v>610</v>
      </c>
      <c r="I12">
        <v>610</v>
      </c>
      <c r="J12">
        <v>610</v>
      </c>
      <c r="K12">
        <v>610</v>
      </c>
      <c r="L12">
        <v>610</v>
      </c>
      <c r="M12">
        <v>610</v>
      </c>
      <c r="N12">
        <v>610</v>
      </c>
      <c r="O12">
        <v>770</v>
      </c>
      <c r="P12" s="9">
        <v>970</v>
      </c>
    </row>
    <row r="13" spans="1:17" x14ac:dyDescent="0.3">
      <c r="A13" t="s">
        <v>15</v>
      </c>
      <c r="B13" t="s">
        <v>13</v>
      </c>
      <c r="C13">
        <v>610</v>
      </c>
      <c r="D13">
        <v>610</v>
      </c>
      <c r="E13">
        <v>610</v>
      </c>
      <c r="F13">
        <v>610</v>
      </c>
      <c r="G13">
        <v>610</v>
      </c>
      <c r="H13">
        <v>610</v>
      </c>
      <c r="I13">
        <v>610</v>
      </c>
      <c r="J13">
        <v>610</v>
      </c>
      <c r="K13">
        <v>910</v>
      </c>
      <c r="L13">
        <v>910</v>
      </c>
      <c r="M13">
        <v>910</v>
      </c>
      <c r="N13">
        <v>910</v>
      </c>
      <c r="O13">
        <v>1270</v>
      </c>
      <c r="P13" s="9">
        <v>1470</v>
      </c>
    </row>
    <row r="14" spans="1:17" x14ac:dyDescent="0.3">
      <c r="A14" t="s">
        <v>11</v>
      </c>
      <c r="B14" t="s">
        <v>12</v>
      </c>
      <c r="C14">
        <v>2.4</v>
      </c>
      <c r="D14">
        <v>2.4</v>
      </c>
      <c r="E14">
        <v>2.4</v>
      </c>
      <c r="F14">
        <v>2.4</v>
      </c>
      <c r="G14">
        <v>2.4</v>
      </c>
      <c r="H14">
        <v>2.4</v>
      </c>
      <c r="I14">
        <v>2.4</v>
      </c>
      <c r="J14">
        <v>2.4</v>
      </c>
      <c r="K14">
        <v>2.7</v>
      </c>
      <c r="L14">
        <v>2.7</v>
      </c>
      <c r="M14">
        <v>2.7</v>
      </c>
      <c r="N14">
        <v>2.7</v>
      </c>
      <c r="O14">
        <v>3.4</v>
      </c>
      <c r="P14" s="9">
        <v>3.4</v>
      </c>
    </row>
    <row r="15" spans="1:17" x14ac:dyDescent="0.3">
      <c r="A15" t="s">
        <v>16</v>
      </c>
      <c r="B15" t="s">
        <v>33</v>
      </c>
      <c r="C15">
        <v>7600</v>
      </c>
      <c r="D15">
        <v>7600</v>
      </c>
      <c r="E15">
        <f t="shared" ref="E15:P15" si="11">E16/24</f>
        <v>9166.6666666666661</v>
      </c>
      <c r="F15">
        <f t="shared" si="11"/>
        <v>9166.6666666666661</v>
      </c>
      <c r="G15">
        <f t="shared" si="11"/>
        <v>9166.6666666666661</v>
      </c>
      <c r="H15">
        <f t="shared" si="11"/>
        <v>9166.6666666666661</v>
      </c>
      <c r="I15">
        <f t="shared" si="11"/>
        <v>9166.6666666666661</v>
      </c>
      <c r="J15">
        <f t="shared" si="11"/>
        <v>9166.6666666666661</v>
      </c>
      <c r="K15">
        <f t="shared" si="11"/>
        <v>9166.6666666666661</v>
      </c>
      <c r="L15">
        <f t="shared" si="11"/>
        <v>9166.6666666666661</v>
      </c>
      <c r="M15">
        <f t="shared" si="11"/>
        <v>12500</v>
      </c>
      <c r="N15">
        <f t="shared" si="11"/>
        <v>12500</v>
      </c>
      <c r="O15">
        <f t="shared" si="11"/>
        <v>12500</v>
      </c>
      <c r="P15">
        <f t="shared" si="11"/>
        <v>12500</v>
      </c>
    </row>
    <row r="16" spans="1:17" x14ac:dyDescent="0.3">
      <c r="A16" t="s">
        <v>24</v>
      </c>
      <c r="B16" t="s">
        <v>17</v>
      </c>
      <c r="E16">
        <v>220000</v>
      </c>
      <c r="F16">
        <v>220000</v>
      </c>
      <c r="G16">
        <v>220000</v>
      </c>
      <c r="H16">
        <v>220000</v>
      </c>
      <c r="I16">
        <v>220000</v>
      </c>
      <c r="J16">
        <v>220000</v>
      </c>
      <c r="K16">
        <v>220000</v>
      </c>
      <c r="L16">
        <v>220000</v>
      </c>
      <c r="M16">
        <v>300000</v>
      </c>
      <c r="N16">
        <v>300000</v>
      </c>
      <c r="O16">
        <v>300000</v>
      </c>
      <c r="P16">
        <v>300000</v>
      </c>
    </row>
    <row r="17" spans="1:16" x14ac:dyDescent="0.3">
      <c r="A17" t="s">
        <v>18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P17" s="9"/>
    </row>
    <row r="18" spans="1:16" x14ac:dyDescent="0.3">
      <c r="A18" t="s">
        <v>23</v>
      </c>
      <c r="E18">
        <v>400</v>
      </c>
      <c r="F18">
        <v>400</v>
      </c>
      <c r="G18">
        <v>400</v>
      </c>
      <c r="H18">
        <v>400</v>
      </c>
      <c r="I18">
        <v>400</v>
      </c>
      <c r="J18">
        <v>400</v>
      </c>
      <c r="K18">
        <v>550</v>
      </c>
      <c r="L18">
        <v>550</v>
      </c>
      <c r="M18">
        <v>550</v>
      </c>
      <c r="N18">
        <v>550</v>
      </c>
      <c r="O18">
        <v>550</v>
      </c>
      <c r="P18" s="9">
        <v>900</v>
      </c>
    </row>
    <row r="19" spans="1:16" x14ac:dyDescent="0.3">
      <c r="A19" t="s">
        <v>25</v>
      </c>
      <c r="B19" t="s">
        <v>26</v>
      </c>
      <c r="C19">
        <f>2.3*1960+C21</f>
        <v>7634</v>
      </c>
      <c r="D19">
        <f>2.3*1960+D21</f>
        <v>7634</v>
      </c>
      <c r="E19">
        <f>2.3*2140+E21</f>
        <v>8332</v>
      </c>
      <c r="F19">
        <f>5500+8000</f>
        <v>13500</v>
      </c>
      <c r="G19">
        <f>5500+8000</f>
        <v>13500</v>
      </c>
      <c r="H19">
        <f>5500+8000</f>
        <v>13500</v>
      </c>
      <c r="I19">
        <f>5500+8000</f>
        <v>13500</v>
      </c>
      <c r="J19">
        <f>5500+8000</f>
        <v>13500</v>
      </c>
      <c r="K19">
        <f>6105+12000</f>
        <v>18105</v>
      </c>
      <c r="L19">
        <f>6105+12000</f>
        <v>18105</v>
      </c>
      <c r="M19">
        <f>6105+12000</f>
        <v>18105</v>
      </c>
      <c r="N19">
        <f>6105+12000</f>
        <v>18105</v>
      </c>
      <c r="O19">
        <f>6105+16200</f>
        <v>22305</v>
      </c>
      <c r="P19" s="9">
        <f>7750+17300</f>
        <v>25050</v>
      </c>
    </row>
    <row r="20" spans="1:16" x14ac:dyDescent="0.3">
      <c r="A20" t="s">
        <v>19</v>
      </c>
      <c r="C20">
        <v>2020</v>
      </c>
      <c r="D20">
        <v>2020</v>
      </c>
      <c r="E20">
        <v>2200</v>
      </c>
      <c r="F20">
        <v>2200</v>
      </c>
      <c r="G20">
        <v>2200</v>
      </c>
      <c r="H20">
        <v>2200</v>
      </c>
      <c r="I20">
        <v>2200</v>
      </c>
      <c r="J20">
        <v>2200</v>
      </c>
      <c r="K20">
        <v>2200</v>
      </c>
      <c r="L20">
        <v>2200</v>
      </c>
      <c r="M20">
        <v>2200</v>
      </c>
      <c r="N20">
        <v>2490</v>
      </c>
      <c r="O20">
        <v>2490</v>
      </c>
      <c r="P20" s="9">
        <v>3130</v>
      </c>
    </row>
    <row r="21" spans="1:16" x14ac:dyDescent="0.3">
      <c r="A21" t="s">
        <v>3</v>
      </c>
      <c r="C21" s="1">
        <v>3126</v>
      </c>
      <c r="D21" s="1">
        <v>3126</v>
      </c>
      <c r="E21">
        <v>3410</v>
      </c>
      <c r="F21">
        <v>3410</v>
      </c>
      <c r="G21">
        <v>3410</v>
      </c>
      <c r="H21">
        <v>3410</v>
      </c>
      <c r="I21">
        <v>3410</v>
      </c>
      <c r="J21">
        <v>3410</v>
      </c>
      <c r="K21">
        <v>3410</v>
      </c>
      <c r="L21">
        <v>3410</v>
      </c>
      <c r="M21">
        <v>3410</v>
      </c>
      <c r="N21" s="1">
        <v>3860</v>
      </c>
      <c r="O21" s="1">
        <v>3860</v>
      </c>
      <c r="P21" s="9">
        <v>4860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D549-6919-478B-8B78-B53A501F6689}">
  <dimension ref="A1:B9"/>
  <sheetViews>
    <sheetView workbookViewId="0">
      <selection activeCell="A8" sqref="A1:A8"/>
    </sheetView>
  </sheetViews>
  <sheetFormatPr defaultRowHeight="14.4" x14ac:dyDescent="0.3"/>
  <sheetData>
    <row r="1" spans="1:2" x14ac:dyDescent="0.3">
      <c r="A1" s="3">
        <f t="shared" ref="A1:A7" si="0">1+A2</f>
        <v>2021</v>
      </c>
      <c r="B1" s="4">
        <v>36191.865869672103</v>
      </c>
    </row>
    <row r="2" spans="1:2" x14ac:dyDescent="0.3">
      <c r="A2" s="3">
        <f t="shared" si="0"/>
        <v>2020</v>
      </c>
      <c r="B2" s="4">
        <v>34606.334573517503</v>
      </c>
    </row>
    <row r="3" spans="1:2" x14ac:dyDescent="0.3">
      <c r="A3" s="3">
        <f t="shared" si="0"/>
        <v>2019</v>
      </c>
      <c r="B3" s="4">
        <v>33227.633399693899</v>
      </c>
    </row>
    <row r="4" spans="1:2" x14ac:dyDescent="0.3">
      <c r="A4" s="3">
        <f t="shared" si="0"/>
        <v>2018</v>
      </c>
      <c r="B4" s="4">
        <v>31005.861030659202</v>
      </c>
    </row>
    <row r="5" spans="1:2" x14ac:dyDescent="0.3">
      <c r="A5" s="3">
        <f t="shared" si="0"/>
        <v>2017</v>
      </c>
      <c r="B5" s="4">
        <v>28704.067052664199</v>
      </c>
    </row>
    <row r="6" spans="1:2" x14ac:dyDescent="0.3">
      <c r="A6" s="3">
        <f t="shared" si="0"/>
        <v>2016</v>
      </c>
      <c r="B6" s="4">
        <v>26837</v>
      </c>
    </row>
    <row r="7" spans="1:2" x14ac:dyDescent="0.3">
      <c r="A7" s="3">
        <f t="shared" si="0"/>
        <v>2015</v>
      </c>
      <c r="B7" s="4">
        <v>25697</v>
      </c>
    </row>
    <row r="8" spans="1:2" x14ac:dyDescent="0.3">
      <c r="A8" s="3">
        <f>1+A9</f>
        <v>2014</v>
      </c>
      <c r="B8" s="4">
        <v>24906</v>
      </c>
    </row>
    <row r="9" spans="1:2" x14ac:dyDescent="0.3">
      <c r="A9">
        <v>2013</v>
      </c>
      <c r="B9" s="4">
        <v>24221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List1-backup</vt:lpstr>
      <vt:lpstr>mzdy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Kolář</dc:creator>
  <cp:lastModifiedBy>Daniel Kolář</cp:lastModifiedBy>
  <dcterms:created xsi:type="dcterms:W3CDTF">2015-06-05T18:19:34Z</dcterms:created>
  <dcterms:modified xsi:type="dcterms:W3CDTF">2024-05-04T18:53:57Z</dcterms:modified>
</cp:coreProperties>
</file>