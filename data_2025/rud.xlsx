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icz-my.sharepoint.com/personal/32563404_cuni_cz/Documents/PhD/Research/Rozpočet/CERGE-EI 4. studie - kraje/data/"/>
    </mc:Choice>
  </mc:AlternateContent>
  <xr:revisionPtr revIDLastSave="188" documentId="8_{34ED9D2E-252C-4108-BC31-39D6D6239E8E}" xr6:coauthVersionLast="47" xr6:coauthVersionMax="47" xr10:uidLastSave="{98B2DE95-A1AE-4005-8CE1-4EFDB0239585}"/>
  <bookViews>
    <workbookView xWindow="-120" yWindow="-120" windowWidth="29040" windowHeight="15840" activeTab="1" xr2:uid="{D9ED9004-E6F1-4E8B-ADEB-F642D37C64B1}"/>
  </bookViews>
  <sheets>
    <sheet name="list" sheetId="2" r:id="rId1"/>
    <sheet name="list2" sheetId="3" r:id="rId2"/>
    <sheet name="zdroj_da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D2" i="1"/>
  <c r="K2" i="1"/>
  <c r="L3" i="1" s="1"/>
  <c r="G2" i="1"/>
  <c r="H10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H9" i="1" l="1"/>
  <c r="L2" i="1"/>
  <c r="H8" i="1"/>
  <c r="L10" i="1"/>
  <c r="H7" i="1"/>
  <c r="L9" i="1"/>
  <c r="H15" i="1"/>
  <c r="H14" i="1"/>
  <c r="H6" i="1"/>
  <c r="L8" i="1"/>
  <c r="H13" i="1"/>
  <c r="H5" i="1"/>
  <c r="L15" i="1"/>
  <c r="L7" i="1"/>
  <c r="H12" i="1"/>
  <c r="H4" i="1"/>
  <c r="L14" i="1"/>
  <c r="L6" i="1"/>
  <c r="L5" i="1"/>
  <c r="H11" i="1"/>
  <c r="H3" i="1"/>
  <c r="H2" i="1"/>
  <c r="L12" i="1"/>
  <c r="L4" i="1"/>
</calcChain>
</file>

<file path=xl/sharedStrings.xml><?xml version="1.0" encoding="utf-8"?>
<sst xmlns="http://schemas.openxmlformats.org/spreadsheetml/2006/main" count="63" uniqueCount="30">
  <si>
    <t>Kraj</t>
  </si>
  <si>
    <t>Hlavní město Praha</t>
  </si>
  <si>
    <t>Aktuální</t>
  </si>
  <si>
    <t>2025 vč. Prahy</t>
  </si>
  <si>
    <t>2026 vč. Prahy</t>
  </si>
  <si>
    <t>Středočeský kraj</t>
  </si>
  <si>
    <t>Jihočeský kraj</t>
  </si>
  <si>
    <t>Plzeňský kraj</t>
  </si>
  <si>
    <t>Karlovarský kraj</t>
  </si>
  <si>
    <t>Ústecký kraj</t>
  </si>
  <si>
    <t>Liberecký kraj</t>
  </si>
  <si>
    <t>Královéhradecký kraj</t>
  </si>
  <si>
    <t>Pardubický kraj</t>
  </si>
  <si>
    <t>Kraj Vysočina</t>
  </si>
  <si>
    <t>Jihomoravský kraj</t>
  </si>
  <si>
    <t>Olomoucký kraj</t>
  </si>
  <si>
    <t>Zlínský kraj</t>
  </si>
  <si>
    <t>Moravskoslezský kraj</t>
  </si>
  <si>
    <t>Aktuální stav</t>
  </si>
  <si>
    <t>Novela 2024</t>
  </si>
  <si>
    <t>Novela 2024 bez Prahy</t>
  </si>
  <si>
    <t>Vyrovnávací koeficient</t>
  </si>
  <si>
    <t>Počet obyvatel</t>
  </si>
  <si>
    <t>Rozloha území kraje</t>
  </si>
  <si>
    <t>Délka silnic II. a III. třídy</t>
  </si>
  <si>
    <t>Počet urgentních příjmů</t>
  </si>
  <si>
    <t>Počet výjezdových základen ZZS</t>
  </si>
  <si>
    <t>Navýšení pro Prahu</t>
  </si>
  <si>
    <t>Počet obcí oproti rozloze</t>
  </si>
  <si>
    <t>Počet studentů krajských škol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</si>
</sst>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0.000%"/>
  </numFmts>
  <fonts count="8" x14ac:knownFonts="1">
    <font>
      <sz val="11"/>
      <color theme="1"/>
      <name val="Aptos Narrow"/>
      <family val="2"/>
      <charset val="238"/>
      <scheme val="minor"/>
    </font>
    <font>
      <sz val="8"/>
      <color rgb="FF000000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8"/>
      <name val="Times New Roman"/>
      <family val="1"/>
      <charset val="238"/>
    </font>
    <font>
      <sz val="8"/>
      <color rgb="FF3B3A3B"/>
      <name val="Times New Roman"/>
      <family val="2"/>
    </font>
    <font>
      <sz val="10"/>
      <color rgb="FF000000"/>
      <name val="Times New Roman"/>
      <family val="1"/>
      <charset val="238"/>
    </font>
    <font>
      <sz val="8"/>
      <name val="Times New Roman"/>
      <family val="1"/>
      <charset val="238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9" fontId="7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top"/>
    </xf>
    <xf numFmtId="164" fontId="4" fillId="0" borderId="0" xfId="1" applyNumberFormat="1" applyFont="1" applyAlignment="1">
      <alignment horizontal="left" vertical="top"/>
    </xf>
    <xf numFmtId="0" fontId="6" fillId="0" borderId="0" xfId="2" applyFont="1" applyAlignment="1">
      <alignment horizontal="left" vertical="top"/>
    </xf>
    <xf numFmtId="165" fontId="0" fillId="0" borderId="0" xfId="3" applyNumberFormat="1" applyFont="1"/>
    <xf numFmtId="9" fontId="0" fillId="0" borderId="0" xfId="0" applyNumberFormat="1"/>
  </cellXfs>
  <cellStyles count="4">
    <cellStyle name="Normální" xfId="0" builtinId="0"/>
    <cellStyle name="Normální 2" xfId="1" xr:uid="{BFA7D5DB-116E-473E-B5CE-B9D4D5DED197}"/>
    <cellStyle name="Normální 3" xfId="2" xr:uid="{F19D26FF-DBA1-4819-92BD-72CC311CC331}"/>
    <cellStyle name="Procenta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D38D-50BE-45E8-945E-81DE985EF2B0}">
  <dimension ref="A1:C15"/>
  <sheetViews>
    <sheetView workbookViewId="0">
      <selection activeCell="D10" sqref="D10"/>
    </sheetView>
  </sheetViews>
  <sheetFormatPr defaultRowHeight="15" x14ac:dyDescent="0.25"/>
  <cols>
    <col min="1" max="1" width="16.28515625" customWidth="1"/>
  </cols>
  <sheetData>
    <row r="1" spans="1:3" x14ac:dyDescent="0.25">
      <c r="A1" s="1" t="s">
        <v>0</v>
      </c>
      <c r="B1" t="s">
        <v>18</v>
      </c>
      <c r="C1" t="s">
        <v>19</v>
      </c>
    </row>
    <row r="2" spans="1:3" x14ac:dyDescent="0.25">
      <c r="A2" s="1" t="s">
        <v>1</v>
      </c>
      <c r="B2">
        <v>3.1836836574631668</v>
      </c>
      <c r="C2">
        <v>2.0201153657339224</v>
      </c>
    </row>
    <row r="3" spans="1:3" x14ac:dyDescent="0.25">
      <c r="A3" s="1" t="s">
        <v>5</v>
      </c>
      <c r="B3">
        <v>13.7743112972248</v>
      </c>
      <c r="C3">
        <v>14.160440189821632</v>
      </c>
    </row>
    <row r="4" spans="1:3" x14ac:dyDescent="0.25">
      <c r="A4" s="1" t="s">
        <v>6</v>
      </c>
      <c r="B4">
        <v>8.6072015794510079</v>
      </c>
      <c r="C4">
        <v>8.7198649975454092</v>
      </c>
    </row>
    <row r="5" spans="1:3" x14ac:dyDescent="0.25">
      <c r="A5" s="1" t="s">
        <v>7</v>
      </c>
      <c r="B5">
        <v>7.2487158154851308</v>
      </c>
      <c r="C5">
        <v>7.4440492554410085</v>
      </c>
    </row>
    <row r="6" spans="1:3" x14ac:dyDescent="0.25">
      <c r="A6" s="1" t="s">
        <v>8</v>
      </c>
      <c r="B6">
        <v>3.7729902633331598</v>
      </c>
      <c r="C6">
        <v>3.9831566028473242</v>
      </c>
    </row>
    <row r="7" spans="1:3" x14ac:dyDescent="0.25">
      <c r="A7" s="1" t="s">
        <v>9</v>
      </c>
      <c r="B7">
        <v>8.2425019294563633</v>
      </c>
      <c r="C7">
        <v>7.7960931107838318</v>
      </c>
    </row>
    <row r="8" spans="1:3" x14ac:dyDescent="0.25">
      <c r="A8" s="1" t="s">
        <v>10</v>
      </c>
      <c r="B8">
        <v>4.6812068570625112</v>
      </c>
      <c r="C8">
        <v>4.9636156111929308</v>
      </c>
    </row>
    <row r="9" spans="1:3" x14ac:dyDescent="0.25">
      <c r="A9" s="1" t="s">
        <v>11</v>
      </c>
      <c r="B9">
        <v>6.4422327351556632</v>
      </c>
      <c r="C9">
        <v>6.2317812142038944</v>
      </c>
    </row>
    <row r="10" spans="1:3" x14ac:dyDescent="0.25">
      <c r="A10" s="1" t="s">
        <v>12</v>
      </c>
      <c r="B10">
        <v>5.5551676569548603</v>
      </c>
      <c r="C10">
        <v>6.3117836687939786</v>
      </c>
    </row>
    <row r="11" spans="1:3" x14ac:dyDescent="0.25">
      <c r="A11" s="1" t="s">
        <v>13</v>
      </c>
      <c r="B11">
        <v>7.3385901486379703</v>
      </c>
      <c r="C11">
        <v>7.2452323678612336</v>
      </c>
    </row>
    <row r="12" spans="1:3" x14ac:dyDescent="0.25">
      <c r="A12" s="1" t="s">
        <v>14</v>
      </c>
      <c r="B12">
        <v>9.526055428271933</v>
      </c>
      <c r="C12">
        <v>10.034959908361971</v>
      </c>
    </row>
    <row r="13" spans="1:3" x14ac:dyDescent="0.25">
      <c r="A13" s="1" t="s">
        <v>15</v>
      </c>
      <c r="B13">
        <v>6.7517051114385938</v>
      </c>
      <c r="C13">
        <v>6.4462436589756171</v>
      </c>
    </row>
    <row r="14" spans="1:3" x14ac:dyDescent="0.25">
      <c r="A14" s="1" t="s">
        <v>16</v>
      </c>
      <c r="B14">
        <v>5.2515027674064667</v>
      </c>
      <c r="C14">
        <v>5.6801071837669772</v>
      </c>
    </row>
    <row r="15" spans="1:3" x14ac:dyDescent="0.25">
      <c r="A15" s="1" t="s">
        <v>17</v>
      </c>
      <c r="B15">
        <v>9.6241347526583745</v>
      </c>
      <c r="C15">
        <v>8.9625568646702671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F1D1-5FC9-41E0-8317-00E9626E3DCD}">
  <dimension ref="A1:L15"/>
  <sheetViews>
    <sheetView tabSelected="1" workbookViewId="0">
      <selection activeCell="I2" sqref="I2"/>
    </sheetView>
  </sheetViews>
  <sheetFormatPr defaultRowHeight="15" x14ac:dyDescent="0.25"/>
  <sheetData>
    <row r="1" spans="1:12" x14ac:dyDescent="0.25">
      <c r="A1" s="1" t="s">
        <v>0</v>
      </c>
      <c r="B1" t="s">
        <v>19</v>
      </c>
      <c r="C1" t="s">
        <v>20</v>
      </c>
      <c r="D1" t="s">
        <v>27</v>
      </c>
      <c r="E1" t="s">
        <v>21</v>
      </c>
      <c r="F1" t="s">
        <v>22</v>
      </c>
      <c r="G1" t="s">
        <v>23</v>
      </c>
      <c r="H1" t="s">
        <v>24</v>
      </c>
      <c r="I1" t="s">
        <v>29</v>
      </c>
      <c r="J1" t="s">
        <v>26</v>
      </c>
      <c r="K1" t="s">
        <v>25</v>
      </c>
      <c r="L1" t="s">
        <v>28</v>
      </c>
    </row>
    <row r="2" spans="1:12" ht="33.75" x14ac:dyDescent="0.25">
      <c r="A2" s="1" t="s">
        <v>1</v>
      </c>
      <c r="B2">
        <v>2.0201153657339224</v>
      </c>
      <c r="C2">
        <v>1.0322190082644627</v>
      </c>
      <c r="D2" s="5">
        <v>9.8789635746946002E-3</v>
      </c>
      <c r="E2" s="5">
        <v>0</v>
      </c>
      <c r="F2" s="5">
        <v>0</v>
      </c>
      <c r="G2" s="5">
        <v>8.1999999999999998E-4</v>
      </c>
      <c r="H2" s="5">
        <v>1.2E-4</v>
      </c>
      <c r="I2" s="5">
        <v>5.4400000000000004E-3</v>
      </c>
      <c r="J2" s="5">
        <v>3.9399999999999999E-3</v>
      </c>
      <c r="K2" s="5">
        <v>0</v>
      </c>
      <c r="L2" s="5">
        <v>0</v>
      </c>
    </row>
    <row r="3" spans="1:12" ht="22.5" x14ac:dyDescent="0.25">
      <c r="A3" s="1" t="s">
        <v>5</v>
      </c>
      <c r="B3">
        <v>14.160440189821632</v>
      </c>
      <c r="C3">
        <v>14.303214876033058</v>
      </c>
      <c r="D3" s="6">
        <v>0</v>
      </c>
      <c r="E3" s="5">
        <v>5.3800000000000002E-3</v>
      </c>
      <c r="F3" s="5">
        <v>6.0850000000000001E-2</v>
      </c>
      <c r="G3" s="5">
        <v>1.8020000000000001E-2</v>
      </c>
      <c r="H3" s="5">
        <v>3.5409999999999997E-2</v>
      </c>
      <c r="I3" s="5">
        <v>4.1099999999999999E-3</v>
      </c>
      <c r="J3" s="5">
        <v>8.4399999999999996E-3</v>
      </c>
      <c r="K3" s="5">
        <v>2.5000000000000001E-3</v>
      </c>
      <c r="L3" s="5">
        <v>8.3199999999999993E-3</v>
      </c>
    </row>
    <row r="4" spans="1:12" ht="22.5" x14ac:dyDescent="0.25">
      <c r="A4" s="1" t="s">
        <v>6</v>
      </c>
      <c r="B4">
        <v>8.7198649975454092</v>
      </c>
      <c r="C4">
        <v>8.8077842975206622</v>
      </c>
      <c r="D4" s="6">
        <v>0</v>
      </c>
      <c r="E4" s="5">
        <v>5.3800000000000002E-3</v>
      </c>
      <c r="F4" s="5">
        <v>2.7310000000000001E-2</v>
      </c>
      <c r="G4" s="5">
        <v>1.6580000000000001E-2</v>
      </c>
      <c r="H4" s="5">
        <v>2.2290000000000001E-2</v>
      </c>
      <c r="I4" s="5">
        <v>2.7200000000000002E-3</v>
      </c>
      <c r="J4" s="5">
        <v>6.3800000000000003E-3</v>
      </c>
      <c r="K4" s="5">
        <v>2.5000000000000001E-3</v>
      </c>
      <c r="L4" s="5">
        <v>4.9199999999999999E-3</v>
      </c>
    </row>
    <row r="5" spans="1:12" ht="22.5" x14ac:dyDescent="0.25">
      <c r="A5" s="1" t="s">
        <v>7</v>
      </c>
      <c r="B5">
        <v>7.4440492554410085</v>
      </c>
      <c r="C5">
        <v>7.5191049586776861</v>
      </c>
      <c r="D5" s="6">
        <v>0</v>
      </c>
      <c r="E5" s="5">
        <v>5.3800000000000002E-3</v>
      </c>
      <c r="F5" s="5">
        <v>2.5770000000000001E-2</v>
      </c>
      <c r="G5" s="5">
        <v>1.261E-2</v>
      </c>
      <c r="H5" s="5">
        <v>1.8939999999999999E-2</v>
      </c>
      <c r="I5" s="5">
        <v>2.4099999999999998E-3</v>
      </c>
      <c r="J5" s="5">
        <v>4.8799999999999998E-3</v>
      </c>
      <c r="K5" s="5">
        <v>0</v>
      </c>
      <c r="L5" s="5">
        <v>5.2100000000000002E-3</v>
      </c>
    </row>
    <row r="6" spans="1:12" ht="22.5" x14ac:dyDescent="0.25">
      <c r="A6" s="1" t="s">
        <v>8</v>
      </c>
      <c r="B6">
        <v>3.9831566028473242</v>
      </c>
      <c r="C6">
        <v>4.0233173553719004</v>
      </c>
      <c r="D6" s="6">
        <v>0</v>
      </c>
      <c r="E6" s="5">
        <v>5.3800000000000002E-3</v>
      </c>
      <c r="F6" s="5">
        <v>1.274E-2</v>
      </c>
      <c r="G6" s="5">
        <v>5.4599999999999996E-3</v>
      </c>
      <c r="H6" s="5">
        <v>7.5100000000000002E-3</v>
      </c>
      <c r="I6" s="5">
        <v>1.01E-3</v>
      </c>
      <c r="J6" s="5">
        <v>2.4399999999999999E-3</v>
      </c>
      <c r="K6" s="5">
        <v>2.5000000000000001E-3</v>
      </c>
      <c r="L6" s="5">
        <v>3.1900000000000001E-3</v>
      </c>
    </row>
    <row r="7" spans="1:12" ht="22.5" x14ac:dyDescent="0.25">
      <c r="A7" s="1" t="s">
        <v>9</v>
      </c>
      <c r="B7">
        <v>7.7960931107838318</v>
      </c>
      <c r="C7">
        <v>7.8746983471074383</v>
      </c>
      <c r="D7" s="6">
        <v>0</v>
      </c>
      <c r="E7" s="5">
        <v>5.3800000000000002E-3</v>
      </c>
      <c r="F7" s="5">
        <v>3.4479999999999997E-2</v>
      </c>
      <c r="G7" s="5">
        <v>8.8000000000000005E-3</v>
      </c>
      <c r="H7" s="5">
        <v>1.5010000000000001E-2</v>
      </c>
      <c r="I7" s="5">
        <v>3.1800000000000001E-3</v>
      </c>
      <c r="J7" s="5">
        <v>4.13E-3</v>
      </c>
      <c r="K7" s="5">
        <v>2.5000000000000001E-3</v>
      </c>
      <c r="L7" s="5">
        <v>5.2700000000000004E-3</v>
      </c>
    </row>
    <row r="8" spans="1:12" ht="22.5" x14ac:dyDescent="0.25">
      <c r="A8" s="1" t="s">
        <v>10</v>
      </c>
      <c r="B8">
        <v>4.9636156111929308</v>
      </c>
      <c r="C8">
        <v>5.0136619834710743</v>
      </c>
      <c r="D8" s="6">
        <v>0</v>
      </c>
      <c r="E8" s="5">
        <v>5.3800000000000002E-3</v>
      </c>
      <c r="F8" s="5">
        <v>1.899E-2</v>
      </c>
      <c r="G8" s="5">
        <v>5.2100000000000002E-3</v>
      </c>
      <c r="H8" s="5">
        <v>8.43E-3</v>
      </c>
      <c r="I8" s="5">
        <v>1.5900000000000001E-3</v>
      </c>
      <c r="J8" s="5">
        <v>2.63E-3</v>
      </c>
      <c r="K8" s="5">
        <v>2.5000000000000001E-3</v>
      </c>
      <c r="L8" s="5">
        <v>5.4000000000000003E-3</v>
      </c>
    </row>
    <row r="9" spans="1:12" ht="22.5" x14ac:dyDescent="0.25">
      <c r="A9" s="1" t="s">
        <v>11</v>
      </c>
      <c r="B9">
        <v>6.2317812142038944</v>
      </c>
      <c r="C9">
        <v>6.2946140495867775</v>
      </c>
      <c r="D9" s="6">
        <v>0</v>
      </c>
      <c r="E9" s="5">
        <v>5.3800000000000002E-3</v>
      </c>
      <c r="F9" s="5">
        <v>2.325E-2</v>
      </c>
      <c r="G9" s="5">
        <v>7.8399999999999997E-3</v>
      </c>
      <c r="H9" s="5">
        <v>1.359E-2</v>
      </c>
      <c r="I9" s="5">
        <v>2.2000000000000001E-3</v>
      </c>
      <c r="J9" s="5">
        <v>3.1900000000000001E-3</v>
      </c>
      <c r="K9" s="5">
        <v>0</v>
      </c>
      <c r="L9" s="5">
        <v>7.4799999999999997E-3</v>
      </c>
    </row>
    <row r="10" spans="1:12" ht="22.5" x14ac:dyDescent="0.25">
      <c r="A10" s="1" t="s">
        <v>12</v>
      </c>
      <c r="B10">
        <v>6.3117836687939786</v>
      </c>
      <c r="C10">
        <v>6.375423140495867</v>
      </c>
      <c r="D10" s="6">
        <v>0</v>
      </c>
      <c r="E10" s="5">
        <v>5.3800000000000002E-3</v>
      </c>
      <c r="F10" s="5">
        <v>2.2110000000000001E-2</v>
      </c>
      <c r="G10" s="5">
        <v>7.45E-3</v>
      </c>
      <c r="H10" s="5">
        <v>1.285E-2</v>
      </c>
      <c r="I10" s="5">
        <v>2.16E-3</v>
      </c>
      <c r="J10" s="5">
        <v>3.3800000000000002E-3</v>
      </c>
      <c r="K10" s="5">
        <v>2.5000000000000001E-3</v>
      </c>
      <c r="L10" s="5">
        <v>7.9299999999999995E-3</v>
      </c>
    </row>
    <row r="11" spans="1:12" ht="22.5" x14ac:dyDescent="0.25">
      <c r="A11" s="1" t="s">
        <v>13</v>
      </c>
      <c r="B11">
        <v>7.2452323678612336</v>
      </c>
      <c r="C11">
        <v>7.3182834710743796</v>
      </c>
      <c r="D11" s="6">
        <v>0</v>
      </c>
      <c r="E11" s="5">
        <v>5.3800000000000002E-3</v>
      </c>
      <c r="F11" s="5">
        <v>2.146E-2</v>
      </c>
      <c r="G11" s="5">
        <v>1.12E-2</v>
      </c>
      <c r="H11" s="5">
        <v>1.864E-2</v>
      </c>
      <c r="I11" s="5">
        <v>1.83E-3</v>
      </c>
      <c r="J11" s="5">
        <v>3.9399999999999999E-3</v>
      </c>
      <c r="K11" s="5">
        <v>2.5000000000000001E-3</v>
      </c>
      <c r="L11" s="5">
        <v>8.2299999999999995E-3</v>
      </c>
    </row>
    <row r="12" spans="1:12" ht="22.5" x14ac:dyDescent="0.25">
      <c r="A12" s="1" t="s">
        <v>14</v>
      </c>
      <c r="B12">
        <v>10.034959908361971</v>
      </c>
      <c r="C12">
        <v>10.136138842975207</v>
      </c>
      <c r="D12" s="6">
        <v>0</v>
      </c>
      <c r="E12" s="5">
        <v>5.3800000000000002E-3</v>
      </c>
      <c r="F12" s="5">
        <v>5.2170000000000001E-2</v>
      </c>
      <c r="G12" s="5">
        <v>1.1849999999999999E-2</v>
      </c>
      <c r="H12" s="5">
        <v>1.5859999999999999E-2</v>
      </c>
      <c r="I12" s="5">
        <v>4.3600000000000002E-3</v>
      </c>
      <c r="J12" s="5">
        <v>4.3099999999999996E-3</v>
      </c>
      <c r="K12" s="5">
        <v>0</v>
      </c>
      <c r="L12" s="5">
        <v>7.43E-3</v>
      </c>
    </row>
    <row r="13" spans="1:12" ht="22.5" x14ac:dyDescent="0.25">
      <c r="A13" s="1" t="s">
        <v>15</v>
      </c>
      <c r="B13">
        <v>6.4462436589756171</v>
      </c>
      <c r="C13">
        <v>6.5112388429752057</v>
      </c>
      <c r="D13" s="6">
        <v>0</v>
      </c>
      <c r="E13" s="5">
        <v>5.3800000000000002E-3</v>
      </c>
      <c r="F13" s="5">
        <v>2.6429999999999999E-2</v>
      </c>
      <c r="G13" s="5">
        <v>8.6899999999999998E-3</v>
      </c>
      <c r="H13" s="5">
        <v>1.277E-2</v>
      </c>
      <c r="I13" s="5">
        <v>2.6099999999999999E-3</v>
      </c>
      <c r="J13" s="5">
        <v>3.1900000000000001E-3</v>
      </c>
      <c r="K13" s="5">
        <v>0</v>
      </c>
      <c r="L13" s="5">
        <v>6.0499999999999998E-3</v>
      </c>
    </row>
    <row r="14" spans="1:12" x14ac:dyDescent="0.25">
      <c r="A14" s="1" t="s">
        <v>16</v>
      </c>
      <c r="B14">
        <v>5.6801071837669772</v>
      </c>
      <c r="C14">
        <v>5.7373776859504133</v>
      </c>
      <c r="D14" s="6">
        <v>0</v>
      </c>
      <c r="E14" s="5">
        <v>5.3800000000000002E-3</v>
      </c>
      <c r="F14" s="5">
        <v>2.4330000000000001E-2</v>
      </c>
      <c r="G14" s="5">
        <v>6.5300000000000002E-3</v>
      </c>
      <c r="H14" s="5">
        <v>7.2500000000000004E-3</v>
      </c>
      <c r="I14" s="5">
        <v>2.2100000000000002E-3</v>
      </c>
      <c r="J14" s="5">
        <v>3.0000000000000001E-3</v>
      </c>
      <c r="K14" s="5">
        <v>2.5000000000000001E-3</v>
      </c>
      <c r="L14" s="5">
        <v>6.1599999999999997E-3</v>
      </c>
    </row>
    <row r="15" spans="1:12" ht="22.5" x14ac:dyDescent="0.25">
      <c r="A15" s="1" t="s">
        <v>17</v>
      </c>
      <c r="B15">
        <v>8.9625568646702671</v>
      </c>
      <c r="C15">
        <v>9.0529231404958672</v>
      </c>
      <c r="D15" s="6">
        <v>0</v>
      </c>
      <c r="E15" s="5">
        <v>5.3800000000000002E-3</v>
      </c>
      <c r="F15" s="5">
        <v>5.0119999999999998E-2</v>
      </c>
      <c r="G15" s="5">
        <v>8.9499999999999996E-3</v>
      </c>
      <c r="H15" s="5">
        <v>1.132E-2</v>
      </c>
      <c r="I15" s="5">
        <v>4.1799999999999997E-3</v>
      </c>
      <c r="J15" s="5">
        <v>6.1900000000000002E-3</v>
      </c>
      <c r="K15" s="5">
        <v>0</v>
      </c>
      <c r="L15" s="5">
        <v>4.3899999999999998E-3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DA6E-F69D-4A57-B587-A1F5E2C4BA98}">
  <dimension ref="A1:L15"/>
  <sheetViews>
    <sheetView workbookViewId="0">
      <selection activeCell="E28" sqref="E28"/>
    </sheetView>
  </sheetViews>
  <sheetFormatPr defaultRowHeight="15" x14ac:dyDescent="0.25"/>
  <cols>
    <col min="1" max="1" width="16.28515625" customWidth="1"/>
  </cols>
  <sheetData>
    <row r="1" spans="1:12" x14ac:dyDescent="0.25">
      <c r="A1" s="1" t="s">
        <v>0</v>
      </c>
      <c r="B1" s="1" t="s">
        <v>2</v>
      </c>
      <c r="C1" t="s">
        <v>2</v>
      </c>
      <c r="D1" t="s">
        <v>2</v>
      </c>
      <c r="E1">
        <v>2025</v>
      </c>
      <c r="G1" t="s">
        <v>3</v>
      </c>
      <c r="I1">
        <v>2026</v>
      </c>
      <c r="K1" t="s">
        <v>4</v>
      </c>
    </row>
    <row r="2" spans="1:12" x14ac:dyDescent="0.25">
      <c r="A2" s="1" t="s">
        <v>1</v>
      </c>
      <c r="B2" s="1">
        <v>3.183684</v>
      </c>
      <c r="C2" s="2">
        <v>3572093</v>
      </c>
      <c r="D2">
        <f>C2/SUM(C$2:C$15)*100</f>
        <v>3.1836836574631668</v>
      </c>
      <c r="E2" s="3">
        <v>1248985</v>
      </c>
      <c r="F2">
        <f>E2/SUM(E$2:E$15)*100</f>
        <v>1.0322190082644627</v>
      </c>
      <c r="G2" s="3">
        <f>1248985+1220000</f>
        <v>2468985</v>
      </c>
      <c r="H2">
        <f>G2/SUM(G$2:G$15)*100</f>
        <v>2.0201153657339224</v>
      </c>
      <c r="I2" s="4">
        <v>1320105</v>
      </c>
      <c r="J2">
        <f>I2/SUM(I$2:I$15)*100</f>
        <v>1.0322190945343654</v>
      </c>
      <c r="K2" s="4">
        <f>1320105+1260000</f>
        <v>2580105</v>
      </c>
      <c r="L2">
        <f>K2/SUM(K$2:K$15)*100</f>
        <v>1.9977584204413472</v>
      </c>
    </row>
    <row r="3" spans="1:12" x14ac:dyDescent="0.25">
      <c r="A3" s="1" t="s">
        <v>5</v>
      </c>
      <c r="B3" s="1">
        <v>13.774311000000001</v>
      </c>
      <c r="C3" s="2">
        <v>15454777</v>
      </c>
      <c r="D3">
        <f t="shared" ref="D3:D15" si="0">C3/SUM($C$2:$C$15)*100</f>
        <v>13.7743112972248</v>
      </c>
      <c r="E3" s="2">
        <v>17306890</v>
      </c>
      <c r="F3">
        <f t="shared" ref="F3:F15" si="1">E3/SUM(E$2:E$15)*100</f>
        <v>14.303214876033058</v>
      </c>
      <c r="G3" s="2">
        <v>17306890</v>
      </c>
      <c r="H3">
        <f t="shared" ref="H3:H15" si="2">G3/SUM(G$2:G$15)*100</f>
        <v>14.160440189821632</v>
      </c>
      <c r="I3" s="4">
        <v>18292381</v>
      </c>
      <c r="J3">
        <f t="shared" ref="J3:J15" si="3">I3/SUM(I$2:I$15)*100</f>
        <v>14.303214481194775</v>
      </c>
      <c r="K3" s="4">
        <v>18292381</v>
      </c>
      <c r="L3">
        <f t="shared" ref="L3:L15" si="4">K3/SUM(K$2:K$15)*100</f>
        <v>14.16367092528068</v>
      </c>
    </row>
    <row r="4" spans="1:12" x14ac:dyDescent="0.25">
      <c r="A4" s="1" t="s">
        <v>6</v>
      </c>
      <c r="B4" s="1">
        <v>8.6072009999999999</v>
      </c>
      <c r="C4" s="2">
        <v>9657280</v>
      </c>
      <c r="D4">
        <f t="shared" si="0"/>
        <v>8.6072015794510079</v>
      </c>
      <c r="E4" s="2">
        <v>10657419</v>
      </c>
      <c r="F4">
        <f t="shared" si="1"/>
        <v>8.8077842975206622</v>
      </c>
      <c r="G4" s="2">
        <v>10657419</v>
      </c>
      <c r="H4">
        <f t="shared" si="2"/>
        <v>8.7198649975454092</v>
      </c>
      <c r="I4" s="4">
        <v>11264276</v>
      </c>
      <c r="J4">
        <f t="shared" si="3"/>
        <v>8.8077848150754541</v>
      </c>
      <c r="K4" s="4">
        <v>11264276</v>
      </c>
      <c r="L4">
        <f t="shared" si="4"/>
        <v>8.7218552071235003</v>
      </c>
    </row>
    <row r="5" spans="1:12" x14ac:dyDescent="0.25">
      <c r="A5" s="1" t="s">
        <v>7</v>
      </c>
      <c r="B5" s="1">
        <v>7.2487159999999999</v>
      </c>
      <c r="C5" s="2">
        <v>8133059</v>
      </c>
      <c r="D5">
        <f t="shared" si="0"/>
        <v>7.2487158154851308</v>
      </c>
      <c r="E5" s="2">
        <v>9098117</v>
      </c>
      <c r="F5">
        <f t="shared" si="1"/>
        <v>7.5191049586776861</v>
      </c>
      <c r="G5" s="2">
        <v>9098117</v>
      </c>
      <c r="H5">
        <f t="shared" si="2"/>
        <v>7.4440492554410085</v>
      </c>
      <c r="I5" s="4">
        <v>9616183</v>
      </c>
      <c r="J5">
        <f t="shared" si="3"/>
        <v>7.5191046993510051</v>
      </c>
      <c r="K5" s="4">
        <v>9616183</v>
      </c>
      <c r="L5">
        <f t="shared" si="4"/>
        <v>7.4457475803329469</v>
      </c>
    </row>
    <row r="6" spans="1:12" x14ac:dyDescent="0.25">
      <c r="A6" s="1" t="s">
        <v>8</v>
      </c>
      <c r="B6" s="1">
        <v>3.7729900000000001</v>
      </c>
      <c r="C6" s="2">
        <v>4233295</v>
      </c>
      <c r="D6">
        <f t="shared" si="0"/>
        <v>3.7729902633331598</v>
      </c>
      <c r="E6" s="2">
        <v>4868214</v>
      </c>
      <c r="F6">
        <f t="shared" si="1"/>
        <v>4.0233173553719004</v>
      </c>
      <c r="G6" s="2">
        <v>4868214</v>
      </c>
      <c r="H6">
        <f t="shared" si="2"/>
        <v>3.9831566028473242</v>
      </c>
      <c r="I6" s="4">
        <v>5145421</v>
      </c>
      <c r="J6">
        <f t="shared" si="3"/>
        <v>4.0233176948940494</v>
      </c>
      <c r="K6" s="4">
        <v>5145421</v>
      </c>
      <c r="L6">
        <f t="shared" si="4"/>
        <v>3.9840658149438637</v>
      </c>
    </row>
    <row r="7" spans="1:12" x14ac:dyDescent="0.25">
      <c r="A7" s="1" t="s">
        <v>9</v>
      </c>
      <c r="B7" s="1">
        <v>8.242502</v>
      </c>
      <c r="C7" s="2">
        <v>9248087</v>
      </c>
      <c r="D7">
        <f t="shared" si="0"/>
        <v>8.2425019294563633</v>
      </c>
      <c r="E7" s="2">
        <v>9528385</v>
      </c>
      <c r="F7">
        <f t="shared" si="1"/>
        <v>7.8746983471074383</v>
      </c>
      <c r="G7" s="2">
        <v>9528385</v>
      </c>
      <c r="H7">
        <f t="shared" si="2"/>
        <v>7.7960931107838318</v>
      </c>
      <c r="I7" s="4">
        <v>10070952</v>
      </c>
      <c r="J7">
        <f t="shared" si="3"/>
        <v>7.8746985690828053</v>
      </c>
      <c r="K7" s="4">
        <v>10070952</v>
      </c>
      <c r="L7">
        <f t="shared" si="4"/>
        <v>7.7978722415795589</v>
      </c>
    </row>
    <row r="8" spans="1:12" x14ac:dyDescent="0.25">
      <c r="A8" s="1" t="s">
        <v>10</v>
      </c>
      <c r="B8" s="1">
        <v>4.6812069999999997</v>
      </c>
      <c r="C8" s="2">
        <v>5252314</v>
      </c>
      <c r="D8">
        <f t="shared" si="0"/>
        <v>4.6812068570625112</v>
      </c>
      <c r="E8" s="2">
        <v>6066531</v>
      </c>
      <c r="F8">
        <f t="shared" si="1"/>
        <v>5.0136619834710743</v>
      </c>
      <c r="G8" s="2">
        <v>6066531</v>
      </c>
      <c r="H8">
        <f t="shared" si="2"/>
        <v>4.9636156111929308</v>
      </c>
      <c r="I8" s="4">
        <v>6411973</v>
      </c>
      <c r="J8">
        <f t="shared" si="3"/>
        <v>5.0136625224802565</v>
      </c>
      <c r="K8" s="4">
        <v>6411973</v>
      </c>
      <c r="L8">
        <f t="shared" si="4"/>
        <v>4.964748741773132</v>
      </c>
    </row>
    <row r="9" spans="1:12" x14ac:dyDescent="0.25">
      <c r="A9" s="1" t="s">
        <v>11</v>
      </c>
      <c r="B9" s="1">
        <v>6.4422329999999999</v>
      </c>
      <c r="C9" s="2">
        <v>7228185</v>
      </c>
      <c r="D9">
        <f t="shared" si="0"/>
        <v>6.4422327351556632</v>
      </c>
      <c r="E9" s="2">
        <v>7616483</v>
      </c>
      <c r="F9">
        <f t="shared" si="1"/>
        <v>6.2946140495867775</v>
      </c>
      <c r="G9" s="2">
        <v>7616483</v>
      </c>
      <c r="H9">
        <f t="shared" si="2"/>
        <v>6.2317812142038944</v>
      </c>
      <c r="I9" s="4">
        <v>8050182</v>
      </c>
      <c r="J9">
        <f t="shared" si="3"/>
        <v>6.2946141215106737</v>
      </c>
      <c r="K9" s="4">
        <v>8050182</v>
      </c>
      <c r="L9">
        <f t="shared" si="4"/>
        <v>6.2332032520325198</v>
      </c>
    </row>
    <row r="10" spans="1:12" x14ac:dyDescent="0.25">
      <c r="A10" s="1" t="s">
        <v>12</v>
      </c>
      <c r="B10" s="1">
        <v>5.5551680000000001</v>
      </c>
      <c r="C10" s="2">
        <v>6232898</v>
      </c>
      <c r="D10">
        <f t="shared" si="0"/>
        <v>5.5551676569548603</v>
      </c>
      <c r="E10" s="2">
        <v>7714262</v>
      </c>
      <c r="F10">
        <f t="shared" si="1"/>
        <v>6.375423140495867</v>
      </c>
      <c r="G10" s="2">
        <v>7714262</v>
      </c>
      <c r="H10">
        <f t="shared" si="2"/>
        <v>6.3117836687939786</v>
      </c>
      <c r="I10" s="4">
        <v>8153528</v>
      </c>
      <c r="J10">
        <f t="shared" si="3"/>
        <v>6.3754226288216431</v>
      </c>
      <c r="K10" s="4">
        <v>8153528</v>
      </c>
      <c r="L10">
        <f t="shared" si="4"/>
        <v>6.3132233836624083</v>
      </c>
    </row>
    <row r="11" spans="1:12" x14ac:dyDescent="0.25">
      <c r="A11" s="1" t="s">
        <v>13</v>
      </c>
      <c r="B11" s="1">
        <v>7.3385899999999999</v>
      </c>
      <c r="C11" s="2">
        <v>8233898</v>
      </c>
      <c r="D11">
        <f t="shared" si="0"/>
        <v>7.3385901486379703</v>
      </c>
      <c r="E11" s="2">
        <v>8855123</v>
      </c>
      <c r="F11">
        <f t="shared" si="1"/>
        <v>7.3182834710743796</v>
      </c>
      <c r="G11" s="2">
        <v>8855123</v>
      </c>
      <c r="H11">
        <f t="shared" si="2"/>
        <v>7.2452323678612336</v>
      </c>
      <c r="I11" s="4">
        <v>9359352</v>
      </c>
      <c r="J11">
        <f t="shared" si="3"/>
        <v>7.3182828993666433</v>
      </c>
      <c r="K11" s="4">
        <v>9359352</v>
      </c>
      <c r="L11">
        <f t="shared" si="4"/>
        <v>7.2468850174216035</v>
      </c>
    </row>
    <row r="12" spans="1:12" x14ac:dyDescent="0.25">
      <c r="A12" s="1" t="s">
        <v>14</v>
      </c>
      <c r="B12" s="1">
        <v>9.5260549999999995</v>
      </c>
      <c r="C12" s="2">
        <v>10688234</v>
      </c>
      <c r="D12">
        <f t="shared" si="0"/>
        <v>9.526055428271933</v>
      </c>
      <c r="E12" s="2">
        <v>12264728</v>
      </c>
      <c r="F12">
        <f t="shared" si="1"/>
        <v>10.136138842975207</v>
      </c>
      <c r="G12" s="2">
        <v>12264728</v>
      </c>
      <c r="H12">
        <f t="shared" si="2"/>
        <v>10.034959908361971</v>
      </c>
      <c r="I12" s="4">
        <v>12963108</v>
      </c>
      <c r="J12">
        <f t="shared" si="3"/>
        <v>10.13613886934084</v>
      </c>
      <c r="K12" s="4">
        <v>12963108</v>
      </c>
      <c r="L12">
        <f t="shared" si="4"/>
        <v>10.037249709639953</v>
      </c>
    </row>
    <row r="13" spans="1:12" x14ac:dyDescent="0.25">
      <c r="A13" s="1" t="s">
        <v>15</v>
      </c>
      <c r="B13" s="1">
        <v>6.7517050000000003</v>
      </c>
      <c r="C13" s="2">
        <v>7575413</v>
      </c>
      <c r="D13">
        <f t="shared" si="0"/>
        <v>6.7517051114385938</v>
      </c>
      <c r="E13" s="2">
        <v>7878599</v>
      </c>
      <c r="F13">
        <f t="shared" si="1"/>
        <v>6.5112388429752057</v>
      </c>
      <c r="G13" s="2">
        <v>7878599</v>
      </c>
      <c r="H13">
        <f t="shared" si="2"/>
        <v>6.4462436589756171</v>
      </c>
      <c r="I13" s="4">
        <v>8327223</v>
      </c>
      <c r="J13">
        <f t="shared" si="3"/>
        <v>6.5112385643912738</v>
      </c>
      <c r="K13" s="4">
        <v>8327223</v>
      </c>
      <c r="L13">
        <f t="shared" si="4"/>
        <v>6.4477142857142855</v>
      </c>
    </row>
    <row r="14" spans="1:12" x14ac:dyDescent="0.25">
      <c r="A14" s="1" t="s">
        <v>16</v>
      </c>
      <c r="B14" s="1">
        <v>5.2515029999999996</v>
      </c>
      <c r="C14">
        <v>5892186</v>
      </c>
      <c r="D14">
        <f t="shared" si="0"/>
        <v>5.2515027674064667</v>
      </c>
      <c r="E14">
        <v>6942227</v>
      </c>
      <c r="F14">
        <f t="shared" si="1"/>
        <v>5.7373776859504133</v>
      </c>
      <c r="G14">
        <v>6942227</v>
      </c>
      <c r="H14">
        <f t="shared" si="2"/>
        <v>5.6801071837669772</v>
      </c>
      <c r="I14">
        <v>7337532</v>
      </c>
      <c r="J14">
        <f t="shared" si="3"/>
        <v>5.7373774337321137</v>
      </c>
      <c r="K14">
        <v>7337532</v>
      </c>
      <c r="L14">
        <f t="shared" si="4"/>
        <v>5.6814030197444829</v>
      </c>
    </row>
    <row r="15" spans="1:12" x14ac:dyDescent="0.25">
      <c r="A15" s="1" t="s">
        <v>17</v>
      </c>
      <c r="B15" s="1">
        <v>9.6241350000000008</v>
      </c>
      <c r="C15">
        <v>10798279</v>
      </c>
      <c r="D15">
        <f t="shared" si="0"/>
        <v>9.6241347526583745</v>
      </c>
      <c r="E15">
        <v>10954037</v>
      </c>
      <c r="F15">
        <f t="shared" si="1"/>
        <v>9.0529231404958672</v>
      </c>
      <c r="G15">
        <v>10954037</v>
      </c>
      <c r="H15">
        <f t="shared" si="2"/>
        <v>8.9625568646702671</v>
      </c>
      <c r="I15">
        <v>11577784</v>
      </c>
      <c r="J15">
        <f t="shared" si="3"/>
        <v>9.0529236062240983</v>
      </c>
      <c r="K15">
        <v>11577784</v>
      </c>
      <c r="L15">
        <f t="shared" si="4"/>
        <v>8.9646024003097189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</vt:lpstr>
      <vt:lpstr>list2</vt:lpstr>
      <vt:lpstr>zdroj_dat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Kolář</dc:creator>
  <cp:lastModifiedBy>Daniel Kolář</cp:lastModifiedBy>
  <dcterms:created xsi:type="dcterms:W3CDTF">2024-05-07T13:53:28Z</dcterms:created>
  <dcterms:modified xsi:type="dcterms:W3CDTF">2024-05-10T12:23:51Z</dcterms:modified>
</cp:coreProperties>
</file>